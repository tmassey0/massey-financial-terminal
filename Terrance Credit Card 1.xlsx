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rra\OneDrive\Desktop\"/>
    </mc:Choice>
  </mc:AlternateContent>
  <xr:revisionPtr revIDLastSave="0" documentId="8_{9498EAC8-1FAA-4A3C-83A7-CE296E7E7807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Dashboard" sheetId="1" r:id="rId1"/>
    <sheet name="Setup" sheetId="2" r:id="rId2"/>
    <sheet name="Credit Cards" sheetId="3" r:id="rId3"/>
    <sheet name="Bill Master List" sheetId="4" r:id="rId4"/>
    <sheet name="2026 Monthly Bills" sheetId="5" r:id="rId5"/>
    <sheet name="Utilization Alerts" sheetId="6" r:id="rId6"/>
    <sheet name="Smart Bill Assignments" sheetId="7" r:id="rId7"/>
    <sheet name="Card Payment Schedule" sheetId="8" r:id="rId8"/>
    <sheet name="Payment Action List" sheetId="9" r:id="rId9"/>
    <sheet name="Card Summary" sheetId="10" r:id="rId10"/>
    <sheet name="Cash Advance Calculator" sheetId="11" r:id="rId11"/>
    <sheet name="Card Strateg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2" l="1"/>
  <c r="D9" i="12"/>
  <c r="B9" i="12"/>
  <c r="A9" i="12"/>
  <c r="E8" i="12"/>
  <c r="D8" i="12"/>
  <c r="B8" i="12"/>
  <c r="A8" i="12"/>
  <c r="E7" i="12"/>
  <c r="D7" i="12"/>
  <c r="B7" i="12"/>
  <c r="A7" i="12"/>
  <c r="E6" i="12"/>
  <c r="D6" i="12"/>
  <c r="B6" i="12"/>
  <c r="A6" i="12"/>
  <c r="E5" i="12"/>
  <c r="F5" i="12" s="1"/>
  <c r="G5" i="12" s="1"/>
  <c r="C5" i="12"/>
  <c r="B5" i="12"/>
  <c r="A5" i="12"/>
  <c r="D5" i="12" s="1"/>
  <c r="H21" i="11"/>
  <c r="G21" i="11"/>
  <c r="D21" i="11"/>
  <c r="E21" i="11" s="1"/>
  <c r="F21" i="11" s="1"/>
  <c r="C21" i="11"/>
  <c r="B21" i="11"/>
  <c r="A21" i="11"/>
  <c r="H20" i="11"/>
  <c r="G20" i="11"/>
  <c r="D20" i="11"/>
  <c r="E20" i="11" s="1"/>
  <c r="F20" i="11" s="1"/>
  <c r="C20" i="11"/>
  <c r="B20" i="11"/>
  <c r="A20" i="11"/>
  <c r="H19" i="11"/>
  <c r="G19" i="11"/>
  <c r="D19" i="11"/>
  <c r="E19" i="11" s="1"/>
  <c r="F19" i="11" s="1"/>
  <c r="C19" i="11"/>
  <c r="B19" i="11"/>
  <c r="A19" i="11"/>
  <c r="H18" i="11"/>
  <c r="G18" i="11"/>
  <c r="D18" i="11"/>
  <c r="E18" i="11" s="1"/>
  <c r="F18" i="11" s="1"/>
  <c r="C18" i="11"/>
  <c r="B18" i="11"/>
  <c r="A18" i="11"/>
  <c r="H17" i="11"/>
  <c r="G17" i="11"/>
  <c r="D17" i="11"/>
  <c r="E17" i="11" s="1"/>
  <c r="F17" i="11" s="1"/>
  <c r="C17" i="11"/>
  <c r="B17" i="11"/>
  <c r="A17" i="11"/>
  <c r="H16" i="11"/>
  <c r="G16" i="11"/>
  <c r="D16" i="11"/>
  <c r="E16" i="11" s="1"/>
  <c r="F16" i="11" s="1"/>
  <c r="C16" i="11"/>
  <c r="B16" i="11"/>
  <c r="A16" i="11"/>
  <c r="H15" i="11"/>
  <c r="G15" i="11"/>
  <c r="D15" i="11"/>
  <c r="E15" i="11" s="1"/>
  <c r="F15" i="11" s="1"/>
  <c r="C15" i="11"/>
  <c r="B15" i="11"/>
  <c r="A15" i="11"/>
  <c r="H14" i="11"/>
  <c r="G14" i="11"/>
  <c r="D14" i="11"/>
  <c r="E14" i="11" s="1"/>
  <c r="F14" i="11" s="1"/>
  <c r="C14" i="11"/>
  <c r="B14" i="11"/>
  <c r="A14" i="11"/>
  <c r="H13" i="11"/>
  <c r="G13" i="11"/>
  <c r="D13" i="11"/>
  <c r="E13" i="11" s="1"/>
  <c r="F13" i="11" s="1"/>
  <c r="C13" i="11"/>
  <c r="B13" i="11"/>
  <c r="A13" i="11"/>
  <c r="H12" i="11"/>
  <c r="G12" i="11"/>
  <c r="D12" i="11"/>
  <c r="E12" i="11" s="1"/>
  <c r="F12" i="11" s="1"/>
  <c r="C12" i="11"/>
  <c r="B12" i="11"/>
  <c r="A12" i="11"/>
  <c r="H11" i="11"/>
  <c r="G11" i="11"/>
  <c r="D11" i="11"/>
  <c r="E11" i="11" s="1"/>
  <c r="F11" i="11" s="1"/>
  <c r="C11" i="11"/>
  <c r="B11" i="11"/>
  <c r="A11" i="11"/>
  <c r="H10" i="11"/>
  <c r="G10" i="11"/>
  <c r="D10" i="11"/>
  <c r="E10" i="11" s="1"/>
  <c r="F10" i="11" s="1"/>
  <c r="C10" i="11"/>
  <c r="B10" i="11"/>
  <c r="A10" i="11"/>
  <c r="H9" i="11"/>
  <c r="G9" i="11"/>
  <c r="D9" i="11"/>
  <c r="C9" i="11"/>
  <c r="B9" i="11"/>
  <c r="A9" i="11"/>
  <c r="H8" i="11"/>
  <c r="G8" i="11"/>
  <c r="D8" i="11"/>
  <c r="E8" i="11" s="1"/>
  <c r="F8" i="11" s="1"/>
  <c r="C8" i="11"/>
  <c r="B8" i="11"/>
  <c r="A8" i="11"/>
  <c r="H7" i="11"/>
  <c r="G7" i="11"/>
  <c r="D7" i="11"/>
  <c r="E7" i="11" s="1"/>
  <c r="C7" i="11"/>
  <c r="B7" i="11"/>
  <c r="A7" i="11"/>
  <c r="I17" i="10"/>
  <c r="H17" i="10"/>
  <c r="G17" i="10"/>
  <c r="D17" i="10"/>
  <c r="F17" i="10" s="1"/>
  <c r="J17" i="10" s="1"/>
  <c r="C17" i="10"/>
  <c r="B17" i="10"/>
  <c r="A17" i="10"/>
  <c r="I16" i="10"/>
  <c r="H16" i="10"/>
  <c r="G16" i="10"/>
  <c r="F16" i="10"/>
  <c r="J16" i="10" s="1"/>
  <c r="D16" i="10"/>
  <c r="E16" i="10" s="1"/>
  <c r="C16" i="10"/>
  <c r="B16" i="10"/>
  <c r="A16" i="10"/>
  <c r="I15" i="10"/>
  <c r="H15" i="10"/>
  <c r="G15" i="10"/>
  <c r="F15" i="10"/>
  <c r="J15" i="10" s="1"/>
  <c r="E15" i="10"/>
  <c r="D15" i="10"/>
  <c r="C15" i="10"/>
  <c r="B15" i="10"/>
  <c r="A15" i="10"/>
  <c r="I14" i="10"/>
  <c r="H14" i="10"/>
  <c r="G14" i="10"/>
  <c r="D14" i="10"/>
  <c r="F14" i="10" s="1"/>
  <c r="J14" i="10" s="1"/>
  <c r="C14" i="10"/>
  <c r="B14" i="10"/>
  <c r="A14" i="10"/>
  <c r="I13" i="10"/>
  <c r="H13" i="10"/>
  <c r="G13" i="10"/>
  <c r="D13" i="10"/>
  <c r="F13" i="10" s="1"/>
  <c r="J13" i="10" s="1"/>
  <c r="C13" i="10"/>
  <c r="B13" i="10"/>
  <c r="A13" i="10"/>
  <c r="I12" i="10"/>
  <c r="H12" i="10"/>
  <c r="G12" i="10"/>
  <c r="F12" i="10"/>
  <c r="J12" i="10" s="1"/>
  <c r="D12" i="10"/>
  <c r="E12" i="10" s="1"/>
  <c r="C12" i="10"/>
  <c r="B12" i="10"/>
  <c r="A12" i="10"/>
  <c r="I11" i="10"/>
  <c r="H11" i="10"/>
  <c r="G11" i="10"/>
  <c r="F11" i="10"/>
  <c r="J11" i="10" s="1"/>
  <c r="E11" i="10"/>
  <c r="D11" i="10"/>
  <c r="C11" i="10"/>
  <c r="B11" i="10"/>
  <c r="A11" i="10"/>
  <c r="I10" i="10"/>
  <c r="H10" i="10"/>
  <c r="G10" i="10"/>
  <c r="D10" i="10"/>
  <c r="F10" i="10" s="1"/>
  <c r="J10" i="10" s="1"/>
  <c r="C10" i="10"/>
  <c r="B10" i="10"/>
  <c r="A10" i="10"/>
  <c r="I9" i="10"/>
  <c r="H9" i="10"/>
  <c r="G9" i="10"/>
  <c r="D9" i="10"/>
  <c r="F9" i="10" s="1"/>
  <c r="J9" i="10" s="1"/>
  <c r="C9" i="10"/>
  <c r="B9" i="10"/>
  <c r="A9" i="10"/>
  <c r="I8" i="10"/>
  <c r="H8" i="10"/>
  <c r="G8" i="10"/>
  <c r="F8" i="10"/>
  <c r="J8" i="10" s="1"/>
  <c r="D8" i="10"/>
  <c r="E8" i="10" s="1"/>
  <c r="C8" i="10"/>
  <c r="B8" i="10"/>
  <c r="A8" i="10"/>
  <c r="I7" i="10"/>
  <c r="H7" i="10"/>
  <c r="G7" i="10"/>
  <c r="F7" i="10"/>
  <c r="J7" i="10" s="1"/>
  <c r="E7" i="10"/>
  <c r="D7" i="10"/>
  <c r="C7" i="10"/>
  <c r="B7" i="10"/>
  <c r="A7" i="10"/>
  <c r="I6" i="10"/>
  <c r="H6" i="10"/>
  <c r="G6" i="10"/>
  <c r="D6" i="10"/>
  <c r="F6" i="10" s="1"/>
  <c r="J6" i="10" s="1"/>
  <c r="C6" i="10"/>
  <c r="B6" i="10"/>
  <c r="A6" i="10"/>
  <c r="I5" i="10"/>
  <c r="H5" i="10"/>
  <c r="G5" i="10"/>
  <c r="D5" i="10"/>
  <c r="D18" i="10" s="1"/>
  <c r="C5" i="10"/>
  <c r="B5" i="10"/>
  <c r="A5" i="10"/>
  <c r="I4" i="10"/>
  <c r="H4" i="10"/>
  <c r="G4" i="10"/>
  <c r="F4" i="10"/>
  <c r="J4" i="10" s="1"/>
  <c r="D4" i="10"/>
  <c r="E4" i="10" s="1"/>
  <c r="C4" i="10"/>
  <c r="B4" i="10"/>
  <c r="A4" i="10"/>
  <c r="I3" i="10"/>
  <c r="I18" i="10" s="1"/>
  <c r="H3" i="10"/>
  <c r="G3" i="10"/>
  <c r="F3" i="10"/>
  <c r="J3" i="10" s="1"/>
  <c r="E3" i="10"/>
  <c r="D3" i="10"/>
  <c r="C3" i="10"/>
  <c r="C18" i="10" s="1"/>
  <c r="B3" i="10"/>
  <c r="A3" i="10"/>
  <c r="E109" i="9"/>
  <c r="E108" i="9"/>
  <c r="E107" i="9"/>
  <c r="E106" i="9"/>
  <c r="E105" i="9"/>
  <c r="E100" i="9"/>
  <c r="E99" i="9"/>
  <c r="E98" i="9"/>
  <c r="E97" i="9"/>
  <c r="E96" i="9"/>
  <c r="E91" i="9"/>
  <c r="E90" i="9"/>
  <c r="E89" i="9"/>
  <c r="E88" i="9"/>
  <c r="E87" i="9"/>
  <c r="E82" i="9"/>
  <c r="E81" i="9"/>
  <c r="E80" i="9"/>
  <c r="E79" i="9"/>
  <c r="E78" i="9"/>
  <c r="E73" i="9"/>
  <c r="E72" i="9"/>
  <c r="E71" i="9"/>
  <c r="E70" i="9"/>
  <c r="E69" i="9"/>
  <c r="E64" i="9"/>
  <c r="E63" i="9"/>
  <c r="E62" i="9"/>
  <c r="E61" i="9"/>
  <c r="E60" i="9"/>
  <c r="E55" i="9"/>
  <c r="E54" i="9"/>
  <c r="E53" i="9"/>
  <c r="E52" i="9"/>
  <c r="E51" i="9"/>
  <c r="E46" i="9"/>
  <c r="E45" i="9"/>
  <c r="E44" i="9"/>
  <c r="E43" i="9"/>
  <c r="E42" i="9"/>
  <c r="E37" i="9"/>
  <c r="E36" i="9"/>
  <c r="E35" i="9"/>
  <c r="E34" i="9"/>
  <c r="E33" i="9"/>
  <c r="E28" i="9"/>
  <c r="E27" i="9"/>
  <c r="E26" i="9"/>
  <c r="E25" i="9"/>
  <c r="E24" i="9"/>
  <c r="E19" i="9"/>
  <c r="E18" i="9"/>
  <c r="E17" i="9"/>
  <c r="E16" i="9"/>
  <c r="E15" i="9"/>
  <c r="E10" i="9"/>
  <c r="E9" i="9"/>
  <c r="E8" i="9"/>
  <c r="E7" i="9"/>
  <c r="E6" i="9"/>
  <c r="B28" i="8"/>
  <c r="B27" i="8"/>
  <c r="B26" i="8"/>
  <c r="B25" i="8"/>
  <c r="I39" i="7"/>
  <c r="C39" i="7"/>
  <c r="L20" i="7"/>
  <c r="I20" i="7"/>
  <c r="D20" i="7"/>
  <c r="J20" i="7" s="1"/>
  <c r="C20" i="7"/>
  <c r="E20" i="7" s="1"/>
  <c r="F20" i="7" s="1"/>
  <c r="B20" i="7"/>
  <c r="A20" i="7"/>
  <c r="L19" i="7"/>
  <c r="J19" i="7"/>
  <c r="I19" i="7"/>
  <c r="H19" i="7"/>
  <c r="G19" i="7"/>
  <c r="D19" i="7"/>
  <c r="C19" i="7"/>
  <c r="E19" i="7" s="1"/>
  <c r="F19" i="7" s="1"/>
  <c r="B19" i="7"/>
  <c r="A19" i="7"/>
  <c r="L18" i="7"/>
  <c r="I18" i="7"/>
  <c r="D18" i="7"/>
  <c r="J18" i="7" s="1"/>
  <c r="C18" i="7"/>
  <c r="E18" i="7" s="1"/>
  <c r="F18" i="7" s="1"/>
  <c r="B18" i="7"/>
  <c r="A18" i="7"/>
  <c r="L17" i="7"/>
  <c r="J17" i="7"/>
  <c r="I17" i="7"/>
  <c r="H17" i="7"/>
  <c r="G17" i="7"/>
  <c r="D17" i="7"/>
  <c r="C17" i="7"/>
  <c r="E17" i="7" s="1"/>
  <c r="F17" i="7" s="1"/>
  <c r="B17" i="7"/>
  <c r="A17" i="7"/>
  <c r="L16" i="7"/>
  <c r="I16" i="7"/>
  <c r="D16" i="7"/>
  <c r="J16" i="7" s="1"/>
  <c r="C16" i="7"/>
  <c r="E16" i="7" s="1"/>
  <c r="F16" i="7" s="1"/>
  <c r="B16" i="7"/>
  <c r="A16" i="7"/>
  <c r="L15" i="7"/>
  <c r="J15" i="7"/>
  <c r="I15" i="7"/>
  <c r="H15" i="7"/>
  <c r="G15" i="7"/>
  <c r="D15" i="7"/>
  <c r="C15" i="7"/>
  <c r="E15" i="7" s="1"/>
  <c r="F15" i="7" s="1"/>
  <c r="B15" i="7"/>
  <c r="A15" i="7"/>
  <c r="L14" i="7"/>
  <c r="I14" i="7"/>
  <c r="F14" i="7"/>
  <c r="E14" i="7"/>
  <c r="D14" i="7"/>
  <c r="J14" i="7" s="1"/>
  <c r="C14" i="7"/>
  <c r="K14" i="7" s="1"/>
  <c r="B14" i="7"/>
  <c r="A14" i="7"/>
  <c r="L13" i="7"/>
  <c r="J13" i="7"/>
  <c r="I13" i="7"/>
  <c r="H13" i="7"/>
  <c r="G13" i="7"/>
  <c r="E13" i="7"/>
  <c r="F13" i="7" s="1"/>
  <c r="D13" i="7"/>
  <c r="C13" i="7"/>
  <c r="K13" i="7" s="1"/>
  <c r="B13" i="7"/>
  <c r="A13" i="7"/>
  <c r="L12" i="7"/>
  <c r="I12" i="7"/>
  <c r="F12" i="7"/>
  <c r="E12" i="7"/>
  <c r="D12" i="7"/>
  <c r="J12" i="7" s="1"/>
  <c r="C12" i="7"/>
  <c r="K12" i="7" s="1"/>
  <c r="B12" i="7"/>
  <c r="A12" i="7"/>
  <c r="L11" i="7"/>
  <c r="J11" i="7"/>
  <c r="I11" i="7"/>
  <c r="H11" i="7"/>
  <c r="G11" i="7"/>
  <c r="E11" i="7"/>
  <c r="F11" i="7" s="1"/>
  <c r="D11" i="7"/>
  <c r="C11" i="7"/>
  <c r="K11" i="7" s="1"/>
  <c r="B11" i="7"/>
  <c r="A11" i="7"/>
  <c r="I10" i="7"/>
  <c r="F10" i="7"/>
  <c r="E10" i="7"/>
  <c r="D10" i="7"/>
  <c r="J10" i="7" s="1"/>
  <c r="C10" i="7"/>
  <c r="B10" i="7"/>
  <c r="A10" i="7"/>
  <c r="J9" i="7"/>
  <c r="I9" i="7"/>
  <c r="H9" i="7"/>
  <c r="G9" i="7"/>
  <c r="E9" i="7"/>
  <c r="F9" i="7" s="1"/>
  <c r="D9" i="7"/>
  <c r="C9" i="7"/>
  <c r="K9" i="7" s="1"/>
  <c r="L9" i="7" s="1"/>
  <c r="B9" i="7"/>
  <c r="A9" i="7"/>
  <c r="I8" i="7"/>
  <c r="F8" i="7"/>
  <c r="E8" i="7"/>
  <c r="D8" i="7"/>
  <c r="J8" i="7" s="1"/>
  <c r="C8" i="7"/>
  <c r="B8" i="7"/>
  <c r="A8" i="7"/>
  <c r="J7" i="7"/>
  <c r="I7" i="7"/>
  <c r="H7" i="7"/>
  <c r="G7" i="7"/>
  <c r="E7" i="7"/>
  <c r="F7" i="7" s="1"/>
  <c r="D7" i="7"/>
  <c r="C7" i="7"/>
  <c r="K7" i="7" s="1"/>
  <c r="L7" i="7" s="1"/>
  <c r="B7" i="7"/>
  <c r="A7" i="7"/>
  <c r="I6" i="7"/>
  <c r="F6" i="7"/>
  <c r="E6" i="7"/>
  <c r="D6" i="7"/>
  <c r="J6" i="7" s="1"/>
  <c r="C6" i="7"/>
  <c r="B6" i="7"/>
  <c r="A6" i="7"/>
  <c r="F422" i="5"/>
  <c r="D422" i="5"/>
  <c r="H420" i="5"/>
  <c r="G420" i="5"/>
  <c r="F420" i="5"/>
  <c r="E420" i="5"/>
  <c r="D420" i="5"/>
  <c r="C420" i="5"/>
  <c r="B420" i="5"/>
  <c r="A420" i="5"/>
  <c r="H419" i="5"/>
  <c r="G419" i="5"/>
  <c r="F419" i="5"/>
  <c r="E419" i="5"/>
  <c r="D419" i="5"/>
  <c r="C419" i="5"/>
  <c r="B419" i="5"/>
  <c r="A419" i="5"/>
  <c r="H418" i="5"/>
  <c r="G418" i="5"/>
  <c r="F418" i="5"/>
  <c r="E418" i="5"/>
  <c r="D418" i="5"/>
  <c r="C418" i="5"/>
  <c r="B418" i="5"/>
  <c r="A418" i="5"/>
  <c r="H417" i="5"/>
  <c r="G417" i="5"/>
  <c r="F417" i="5"/>
  <c r="E417" i="5"/>
  <c r="D417" i="5"/>
  <c r="C417" i="5"/>
  <c r="B417" i="5"/>
  <c r="A417" i="5"/>
  <c r="H416" i="5"/>
  <c r="G416" i="5"/>
  <c r="F416" i="5"/>
  <c r="E416" i="5"/>
  <c r="D416" i="5"/>
  <c r="C416" i="5"/>
  <c r="B416" i="5"/>
  <c r="A416" i="5"/>
  <c r="H415" i="5"/>
  <c r="G415" i="5"/>
  <c r="F415" i="5"/>
  <c r="E415" i="5"/>
  <c r="D415" i="5"/>
  <c r="C415" i="5"/>
  <c r="B415" i="5"/>
  <c r="A415" i="5"/>
  <c r="H414" i="5"/>
  <c r="G414" i="5"/>
  <c r="F414" i="5"/>
  <c r="E414" i="5"/>
  <c r="D414" i="5"/>
  <c r="C414" i="5"/>
  <c r="B414" i="5"/>
  <c r="A414" i="5"/>
  <c r="H413" i="5"/>
  <c r="G413" i="5"/>
  <c r="F413" i="5"/>
  <c r="E413" i="5"/>
  <c r="D413" i="5"/>
  <c r="C413" i="5"/>
  <c r="B413" i="5"/>
  <c r="A413" i="5"/>
  <c r="H412" i="5"/>
  <c r="G412" i="5"/>
  <c r="F412" i="5"/>
  <c r="E412" i="5"/>
  <c r="D412" i="5"/>
  <c r="C412" i="5"/>
  <c r="B412" i="5"/>
  <c r="A412" i="5"/>
  <c r="H411" i="5"/>
  <c r="G411" i="5"/>
  <c r="F411" i="5"/>
  <c r="E411" i="5"/>
  <c r="D411" i="5"/>
  <c r="C411" i="5"/>
  <c r="B411" i="5"/>
  <c r="A411" i="5"/>
  <c r="H410" i="5"/>
  <c r="G410" i="5"/>
  <c r="F410" i="5"/>
  <c r="E410" i="5"/>
  <c r="D410" i="5"/>
  <c r="C410" i="5"/>
  <c r="B410" i="5"/>
  <c r="A410" i="5"/>
  <c r="H409" i="5"/>
  <c r="G409" i="5"/>
  <c r="F409" i="5"/>
  <c r="E409" i="5"/>
  <c r="D409" i="5"/>
  <c r="C409" i="5"/>
  <c r="B409" i="5"/>
  <c r="A409" i="5"/>
  <c r="H408" i="5"/>
  <c r="G408" i="5"/>
  <c r="F408" i="5"/>
  <c r="E408" i="5"/>
  <c r="D408" i="5"/>
  <c r="C408" i="5"/>
  <c r="B408" i="5"/>
  <c r="A408" i="5"/>
  <c r="H407" i="5"/>
  <c r="G407" i="5"/>
  <c r="F407" i="5"/>
  <c r="E407" i="5"/>
  <c r="D407" i="5"/>
  <c r="C407" i="5"/>
  <c r="B407" i="5"/>
  <c r="A407" i="5"/>
  <c r="H406" i="5"/>
  <c r="G406" i="5"/>
  <c r="F406" i="5"/>
  <c r="E406" i="5"/>
  <c r="D406" i="5"/>
  <c r="C406" i="5"/>
  <c r="B406" i="5"/>
  <c r="A406" i="5"/>
  <c r="H405" i="5"/>
  <c r="G405" i="5"/>
  <c r="F405" i="5"/>
  <c r="E405" i="5"/>
  <c r="D405" i="5"/>
  <c r="C405" i="5"/>
  <c r="B405" i="5"/>
  <c r="A405" i="5"/>
  <c r="H404" i="5"/>
  <c r="G404" i="5"/>
  <c r="F404" i="5"/>
  <c r="E404" i="5"/>
  <c r="D404" i="5"/>
  <c r="C404" i="5"/>
  <c r="B404" i="5"/>
  <c r="A404" i="5"/>
  <c r="H403" i="5"/>
  <c r="G403" i="5"/>
  <c r="F403" i="5"/>
  <c r="E403" i="5"/>
  <c r="D403" i="5"/>
  <c r="C403" i="5"/>
  <c r="B403" i="5"/>
  <c r="A403" i="5"/>
  <c r="H402" i="5"/>
  <c r="G402" i="5"/>
  <c r="F402" i="5"/>
  <c r="E402" i="5"/>
  <c r="D402" i="5"/>
  <c r="C402" i="5"/>
  <c r="B402" i="5"/>
  <c r="A402" i="5"/>
  <c r="H401" i="5"/>
  <c r="G401" i="5"/>
  <c r="F401" i="5"/>
  <c r="E401" i="5"/>
  <c r="D401" i="5"/>
  <c r="C401" i="5"/>
  <c r="B401" i="5"/>
  <c r="A401" i="5"/>
  <c r="H400" i="5"/>
  <c r="G400" i="5"/>
  <c r="F400" i="5"/>
  <c r="E400" i="5"/>
  <c r="D400" i="5"/>
  <c r="C400" i="5"/>
  <c r="B400" i="5"/>
  <c r="A400" i="5"/>
  <c r="H399" i="5"/>
  <c r="G399" i="5"/>
  <c r="F399" i="5"/>
  <c r="E399" i="5"/>
  <c r="D399" i="5"/>
  <c r="C399" i="5"/>
  <c r="B399" i="5"/>
  <c r="A399" i="5"/>
  <c r="H398" i="5"/>
  <c r="G398" i="5"/>
  <c r="F398" i="5"/>
  <c r="E398" i="5"/>
  <c r="D398" i="5"/>
  <c r="C398" i="5"/>
  <c r="B398" i="5"/>
  <c r="A398" i="5"/>
  <c r="H397" i="5"/>
  <c r="G397" i="5"/>
  <c r="F397" i="5"/>
  <c r="E397" i="5"/>
  <c r="D397" i="5"/>
  <c r="C397" i="5"/>
  <c r="B397" i="5"/>
  <c r="A397" i="5"/>
  <c r="H396" i="5"/>
  <c r="G396" i="5"/>
  <c r="F396" i="5"/>
  <c r="E396" i="5"/>
  <c r="D396" i="5"/>
  <c r="C396" i="5"/>
  <c r="B396" i="5"/>
  <c r="A396" i="5"/>
  <c r="H395" i="5"/>
  <c r="G395" i="5"/>
  <c r="F395" i="5"/>
  <c r="E395" i="5"/>
  <c r="D395" i="5"/>
  <c r="C395" i="5"/>
  <c r="B395" i="5"/>
  <c r="A395" i="5"/>
  <c r="H394" i="5"/>
  <c r="G394" i="5"/>
  <c r="F394" i="5"/>
  <c r="E394" i="5"/>
  <c r="D394" i="5"/>
  <c r="C394" i="5"/>
  <c r="B394" i="5"/>
  <c r="A394" i="5"/>
  <c r="H393" i="5"/>
  <c r="G393" i="5"/>
  <c r="F393" i="5"/>
  <c r="E393" i="5"/>
  <c r="D393" i="5"/>
  <c r="C393" i="5"/>
  <c r="B393" i="5"/>
  <c r="A393" i="5"/>
  <c r="H392" i="5"/>
  <c r="G392" i="5"/>
  <c r="F392" i="5"/>
  <c r="E392" i="5"/>
  <c r="D392" i="5"/>
  <c r="C392" i="5"/>
  <c r="B392" i="5"/>
  <c r="A392" i="5"/>
  <c r="H391" i="5"/>
  <c r="G391" i="5"/>
  <c r="F391" i="5"/>
  <c r="H422" i="5" s="1"/>
  <c r="E391" i="5"/>
  <c r="D391" i="5"/>
  <c r="E422" i="5" s="1"/>
  <c r="C391" i="5"/>
  <c r="B391" i="5"/>
  <c r="G422" i="5" s="1"/>
  <c r="A391" i="5"/>
  <c r="H385" i="5"/>
  <c r="G385" i="5"/>
  <c r="F385" i="5"/>
  <c r="E385" i="5"/>
  <c r="D385" i="5"/>
  <c r="C385" i="5"/>
  <c r="B385" i="5"/>
  <c r="A385" i="5"/>
  <c r="H384" i="5"/>
  <c r="G384" i="5"/>
  <c r="F384" i="5"/>
  <c r="E384" i="5"/>
  <c r="D384" i="5"/>
  <c r="C384" i="5"/>
  <c r="B384" i="5"/>
  <c r="A384" i="5"/>
  <c r="H383" i="5"/>
  <c r="G383" i="5"/>
  <c r="F383" i="5"/>
  <c r="E383" i="5"/>
  <c r="D383" i="5"/>
  <c r="C383" i="5"/>
  <c r="B383" i="5"/>
  <c r="A383" i="5"/>
  <c r="H382" i="5"/>
  <c r="G382" i="5"/>
  <c r="F382" i="5"/>
  <c r="E382" i="5"/>
  <c r="D382" i="5"/>
  <c r="C382" i="5"/>
  <c r="B382" i="5"/>
  <c r="A382" i="5"/>
  <c r="H381" i="5"/>
  <c r="G381" i="5"/>
  <c r="F381" i="5"/>
  <c r="E381" i="5"/>
  <c r="D381" i="5"/>
  <c r="C381" i="5"/>
  <c r="B381" i="5"/>
  <c r="A381" i="5"/>
  <c r="H380" i="5"/>
  <c r="G380" i="5"/>
  <c r="F380" i="5"/>
  <c r="E380" i="5"/>
  <c r="D380" i="5"/>
  <c r="C380" i="5"/>
  <c r="B380" i="5"/>
  <c r="A380" i="5"/>
  <c r="H379" i="5"/>
  <c r="G379" i="5"/>
  <c r="F379" i="5"/>
  <c r="E379" i="5"/>
  <c r="D379" i="5"/>
  <c r="C379" i="5"/>
  <c r="B379" i="5"/>
  <c r="A379" i="5"/>
  <c r="H378" i="5"/>
  <c r="G378" i="5"/>
  <c r="F378" i="5"/>
  <c r="E378" i="5"/>
  <c r="D378" i="5"/>
  <c r="C378" i="5"/>
  <c r="B378" i="5"/>
  <c r="A378" i="5"/>
  <c r="H377" i="5"/>
  <c r="G377" i="5"/>
  <c r="F377" i="5"/>
  <c r="E377" i="5"/>
  <c r="D377" i="5"/>
  <c r="C377" i="5"/>
  <c r="B377" i="5"/>
  <c r="A377" i="5"/>
  <c r="H376" i="5"/>
  <c r="G376" i="5"/>
  <c r="F376" i="5"/>
  <c r="E376" i="5"/>
  <c r="D376" i="5"/>
  <c r="C376" i="5"/>
  <c r="B376" i="5"/>
  <c r="A376" i="5"/>
  <c r="H375" i="5"/>
  <c r="G375" i="5"/>
  <c r="F375" i="5"/>
  <c r="E375" i="5"/>
  <c r="D375" i="5"/>
  <c r="C375" i="5"/>
  <c r="B375" i="5"/>
  <c r="A375" i="5"/>
  <c r="H374" i="5"/>
  <c r="G374" i="5"/>
  <c r="F374" i="5"/>
  <c r="E374" i="5"/>
  <c r="D374" i="5"/>
  <c r="C374" i="5"/>
  <c r="B374" i="5"/>
  <c r="A374" i="5"/>
  <c r="H373" i="5"/>
  <c r="G373" i="5"/>
  <c r="F373" i="5"/>
  <c r="E373" i="5"/>
  <c r="D373" i="5"/>
  <c r="C373" i="5"/>
  <c r="B373" i="5"/>
  <c r="A373" i="5"/>
  <c r="H372" i="5"/>
  <c r="G372" i="5"/>
  <c r="F372" i="5"/>
  <c r="E372" i="5"/>
  <c r="D372" i="5"/>
  <c r="C372" i="5"/>
  <c r="B372" i="5"/>
  <c r="A372" i="5"/>
  <c r="H371" i="5"/>
  <c r="G371" i="5"/>
  <c r="F371" i="5"/>
  <c r="E371" i="5"/>
  <c r="D371" i="5"/>
  <c r="C371" i="5"/>
  <c r="B371" i="5"/>
  <c r="A371" i="5"/>
  <c r="H370" i="5"/>
  <c r="G370" i="5"/>
  <c r="F370" i="5"/>
  <c r="E370" i="5"/>
  <c r="D370" i="5"/>
  <c r="C370" i="5"/>
  <c r="B370" i="5"/>
  <c r="A370" i="5"/>
  <c r="H369" i="5"/>
  <c r="G369" i="5"/>
  <c r="F369" i="5"/>
  <c r="E369" i="5"/>
  <c r="D369" i="5"/>
  <c r="C369" i="5"/>
  <c r="B369" i="5"/>
  <c r="A369" i="5"/>
  <c r="H368" i="5"/>
  <c r="G368" i="5"/>
  <c r="F368" i="5"/>
  <c r="E368" i="5"/>
  <c r="D368" i="5"/>
  <c r="C368" i="5"/>
  <c r="B368" i="5"/>
  <c r="A368" i="5"/>
  <c r="H367" i="5"/>
  <c r="G367" i="5"/>
  <c r="F367" i="5"/>
  <c r="E367" i="5"/>
  <c r="D367" i="5"/>
  <c r="C367" i="5"/>
  <c r="B367" i="5"/>
  <c r="A367" i="5"/>
  <c r="H366" i="5"/>
  <c r="G366" i="5"/>
  <c r="F366" i="5"/>
  <c r="E366" i="5"/>
  <c r="D366" i="5"/>
  <c r="C366" i="5"/>
  <c r="B366" i="5"/>
  <c r="A366" i="5"/>
  <c r="H365" i="5"/>
  <c r="G365" i="5"/>
  <c r="F365" i="5"/>
  <c r="E365" i="5"/>
  <c r="D365" i="5"/>
  <c r="C365" i="5"/>
  <c r="B365" i="5"/>
  <c r="A365" i="5"/>
  <c r="H364" i="5"/>
  <c r="G364" i="5"/>
  <c r="F364" i="5"/>
  <c r="E364" i="5"/>
  <c r="D364" i="5"/>
  <c r="C364" i="5"/>
  <c r="B364" i="5"/>
  <c r="A364" i="5"/>
  <c r="H363" i="5"/>
  <c r="G363" i="5"/>
  <c r="F363" i="5"/>
  <c r="E363" i="5"/>
  <c r="D363" i="5"/>
  <c r="C363" i="5"/>
  <c r="B363" i="5"/>
  <c r="A363" i="5"/>
  <c r="H362" i="5"/>
  <c r="G362" i="5"/>
  <c r="F362" i="5"/>
  <c r="E362" i="5"/>
  <c r="D362" i="5"/>
  <c r="C362" i="5"/>
  <c r="B362" i="5"/>
  <c r="A362" i="5"/>
  <c r="H361" i="5"/>
  <c r="G361" i="5"/>
  <c r="F361" i="5"/>
  <c r="E361" i="5"/>
  <c r="D361" i="5"/>
  <c r="C361" i="5"/>
  <c r="B361" i="5"/>
  <c r="A361" i="5"/>
  <c r="H360" i="5"/>
  <c r="G360" i="5"/>
  <c r="F360" i="5"/>
  <c r="E360" i="5"/>
  <c r="D360" i="5"/>
  <c r="C360" i="5"/>
  <c r="B360" i="5"/>
  <c r="A360" i="5"/>
  <c r="H359" i="5"/>
  <c r="G359" i="5"/>
  <c r="F359" i="5"/>
  <c r="E359" i="5"/>
  <c r="D359" i="5"/>
  <c r="C359" i="5"/>
  <c r="B359" i="5"/>
  <c r="A359" i="5"/>
  <c r="H358" i="5"/>
  <c r="G358" i="5"/>
  <c r="F358" i="5"/>
  <c r="E358" i="5"/>
  <c r="D358" i="5"/>
  <c r="C358" i="5"/>
  <c r="B358" i="5"/>
  <c r="A358" i="5"/>
  <c r="H357" i="5"/>
  <c r="G357" i="5"/>
  <c r="F357" i="5"/>
  <c r="E357" i="5"/>
  <c r="D357" i="5"/>
  <c r="C357" i="5"/>
  <c r="B357" i="5"/>
  <c r="A357" i="5"/>
  <c r="H356" i="5"/>
  <c r="G356" i="5"/>
  <c r="F356" i="5"/>
  <c r="H387" i="5" s="1"/>
  <c r="E356" i="5"/>
  <c r="D356" i="5"/>
  <c r="D387" i="5" s="1"/>
  <c r="C356" i="5"/>
  <c r="B356" i="5"/>
  <c r="G387" i="5" s="1"/>
  <c r="A356" i="5"/>
  <c r="D352" i="5"/>
  <c r="B352" i="5"/>
  <c r="H350" i="5"/>
  <c r="G350" i="5"/>
  <c r="F350" i="5"/>
  <c r="E350" i="5"/>
  <c r="D350" i="5"/>
  <c r="C350" i="5"/>
  <c r="B350" i="5"/>
  <c r="A350" i="5"/>
  <c r="H349" i="5"/>
  <c r="G349" i="5"/>
  <c r="F349" i="5"/>
  <c r="E349" i="5"/>
  <c r="D349" i="5"/>
  <c r="C349" i="5"/>
  <c r="B349" i="5"/>
  <c r="A349" i="5"/>
  <c r="H348" i="5"/>
  <c r="G348" i="5"/>
  <c r="F348" i="5"/>
  <c r="E348" i="5"/>
  <c r="D348" i="5"/>
  <c r="C348" i="5"/>
  <c r="B348" i="5"/>
  <c r="A348" i="5"/>
  <c r="H347" i="5"/>
  <c r="G347" i="5"/>
  <c r="F347" i="5"/>
  <c r="E347" i="5"/>
  <c r="D347" i="5"/>
  <c r="C347" i="5"/>
  <c r="B347" i="5"/>
  <c r="A347" i="5"/>
  <c r="H346" i="5"/>
  <c r="G346" i="5"/>
  <c r="F346" i="5"/>
  <c r="E346" i="5"/>
  <c r="D346" i="5"/>
  <c r="C346" i="5"/>
  <c r="B346" i="5"/>
  <c r="A346" i="5"/>
  <c r="H345" i="5"/>
  <c r="G345" i="5"/>
  <c r="F345" i="5"/>
  <c r="E345" i="5"/>
  <c r="D345" i="5"/>
  <c r="C345" i="5"/>
  <c r="B345" i="5"/>
  <c r="A345" i="5"/>
  <c r="H344" i="5"/>
  <c r="G344" i="5"/>
  <c r="F344" i="5"/>
  <c r="E344" i="5"/>
  <c r="D344" i="5"/>
  <c r="C344" i="5"/>
  <c r="B344" i="5"/>
  <c r="A344" i="5"/>
  <c r="H343" i="5"/>
  <c r="G343" i="5"/>
  <c r="F343" i="5"/>
  <c r="E343" i="5"/>
  <c r="D343" i="5"/>
  <c r="C343" i="5"/>
  <c r="B343" i="5"/>
  <c r="A343" i="5"/>
  <c r="H342" i="5"/>
  <c r="G342" i="5"/>
  <c r="F342" i="5"/>
  <c r="E342" i="5"/>
  <c r="D342" i="5"/>
  <c r="C342" i="5"/>
  <c r="B342" i="5"/>
  <c r="A342" i="5"/>
  <c r="H341" i="5"/>
  <c r="G341" i="5"/>
  <c r="F341" i="5"/>
  <c r="E341" i="5"/>
  <c r="D341" i="5"/>
  <c r="C341" i="5"/>
  <c r="B341" i="5"/>
  <c r="A341" i="5"/>
  <c r="H340" i="5"/>
  <c r="G340" i="5"/>
  <c r="F340" i="5"/>
  <c r="E340" i="5"/>
  <c r="D340" i="5"/>
  <c r="C340" i="5"/>
  <c r="B340" i="5"/>
  <c r="A340" i="5"/>
  <c r="H339" i="5"/>
  <c r="G339" i="5"/>
  <c r="F339" i="5"/>
  <c r="E339" i="5"/>
  <c r="D339" i="5"/>
  <c r="C339" i="5"/>
  <c r="B339" i="5"/>
  <c r="A339" i="5"/>
  <c r="H338" i="5"/>
  <c r="G338" i="5"/>
  <c r="F338" i="5"/>
  <c r="E338" i="5"/>
  <c r="D338" i="5"/>
  <c r="C338" i="5"/>
  <c r="B338" i="5"/>
  <c r="A338" i="5"/>
  <c r="H337" i="5"/>
  <c r="G337" i="5"/>
  <c r="F337" i="5"/>
  <c r="E337" i="5"/>
  <c r="D337" i="5"/>
  <c r="C337" i="5"/>
  <c r="B337" i="5"/>
  <c r="A337" i="5"/>
  <c r="H336" i="5"/>
  <c r="G336" i="5"/>
  <c r="F336" i="5"/>
  <c r="E336" i="5"/>
  <c r="D336" i="5"/>
  <c r="C336" i="5"/>
  <c r="B336" i="5"/>
  <c r="A336" i="5"/>
  <c r="H335" i="5"/>
  <c r="G335" i="5"/>
  <c r="F335" i="5"/>
  <c r="E335" i="5"/>
  <c r="D335" i="5"/>
  <c r="C335" i="5"/>
  <c r="B335" i="5"/>
  <c r="A335" i="5"/>
  <c r="H334" i="5"/>
  <c r="G334" i="5"/>
  <c r="F334" i="5"/>
  <c r="E334" i="5"/>
  <c r="D334" i="5"/>
  <c r="C334" i="5"/>
  <c r="B334" i="5"/>
  <c r="A334" i="5"/>
  <c r="H333" i="5"/>
  <c r="G333" i="5"/>
  <c r="F333" i="5"/>
  <c r="E333" i="5"/>
  <c r="D333" i="5"/>
  <c r="C333" i="5"/>
  <c r="B333" i="5"/>
  <c r="A333" i="5"/>
  <c r="H332" i="5"/>
  <c r="G332" i="5"/>
  <c r="F332" i="5"/>
  <c r="E332" i="5"/>
  <c r="D332" i="5"/>
  <c r="C332" i="5"/>
  <c r="B332" i="5"/>
  <c r="A332" i="5"/>
  <c r="H331" i="5"/>
  <c r="G331" i="5"/>
  <c r="F331" i="5"/>
  <c r="E331" i="5"/>
  <c r="D331" i="5"/>
  <c r="C331" i="5"/>
  <c r="B331" i="5"/>
  <c r="A331" i="5"/>
  <c r="H330" i="5"/>
  <c r="G330" i="5"/>
  <c r="F330" i="5"/>
  <c r="E330" i="5"/>
  <c r="D330" i="5"/>
  <c r="C330" i="5"/>
  <c r="B330" i="5"/>
  <c r="A330" i="5"/>
  <c r="H329" i="5"/>
  <c r="G329" i="5"/>
  <c r="F329" i="5"/>
  <c r="E329" i="5"/>
  <c r="D329" i="5"/>
  <c r="C329" i="5"/>
  <c r="B329" i="5"/>
  <c r="A329" i="5"/>
  <c r="H328" i="5"/>
  <c r="G328" i="5"/>
  <c r="F328" i="5"/>
  <c r="E328" i="5"/>
  <c r="D328" i="5"/>
  <c r="C328" i="5"/>
  <c r="B328" i="5"/>
  <c r="A328" i="5"/>
  <c r="H327" i="5"/>
  <c r="G327" i="5"/>
  <c r="F327" i="5"/>
  <c r="E327" i="5"/>
  <c r="D327" i="5"/>
  <c r="C327" i="5"/>
  <c r="B327" i="5"/>
  <c r="A327" i="5"/>
  <c r="H326" i="5"/>
  <c r="G326" i="5"/>
  <c r="F326" i="5"/>
  <c r="E326" i="5"/>
  <c r="D326" i="5"/>
  <c r="C326" i="5"/>
  <c r="B326" i="5"/>
  <c r="A326" i="5"/>
  <c r="H325" i="5"/>
  <c r="G325" i="5"/>
  <c r="F325" i="5"/>
  <c r="E325" i="5"/>
  <c r="D325" i="5"/>
  <c r="C325" i="5"/>
  <c r="B325" i="5"/>
  <c r="A325" i="5"/>
  <c r="H324" i="5"/>
  <c r="G324" i="5"/>
  <c r="F324" i="5"/>
  <c r="E324" i="5"/>
  <c r="D324" i="5"/>
  <c r="C324" i="5"/>
  <c r="B324" i="5"/>
  <c r="A324" i="5"/>
  <c r="H323" i="5"/>
  <c r="G323" i="5"/>
  <c r="F323" i="5"/>
  <c r="E323" i="5"/>
  <c r="D323" i="5"/>
  <c r="C323" i="5"/>
  <c r="B323" i="5"/>
  <c r="A323" i="5"/>
  <c r="H322" i="5"/>
  <c r="G322" i="5"/>
  <c r="F322" i="5"/>
  <c r="E322" i="5"/>
  <c r="D322" i="5"/>
  <c r="C322" i="5"/>
  <c r="B322" i="5"/>
  <c r="A322" i="5"/>
  <c r="H321" i="5"/>
  <c r="G321" i="5"/>
  <c r="F321" i="5"/>
  <c r="H352" i="5" s="1"/>
  <c r="E321" i="5"/>
  <c r="D321" i="5"/>
  <c r="C352" i="5" s="1"/>
  <c r="C321" i="5"/>
  <c r="B321" i="5"/>
  <c r="G352" i="5" s="1"/>
  <c r="A321" i="5"/>
  <c r="H317" i="5"/>
  <c r="H315" i="5"/>
  <c r="G315" i="5"/>
  <c r="F315" i="5"/>
  <c r="E315" i="5"/>
  <c r="D315" i="5"/>
  <c r="C315" i="5"/>
  <c r="B315" i="5"/>
  <c r="A315" i="5"/>
  <c r="H314" i="5"/>
  <c r="G314" i="5"/>
  <c r="F314" i="5"/>
  <c r="E314" i="5"/>
  <c r="D314" i="5"/>
  <c r="C314" i="5"/>
  <c r="B314" i="5"/>
  <c r="A314" i="5"/>
  <c r="H313" i="5"/>
  <c r="G313" i="5"/>
  <c r="F313" i="5"/>
  <c r="E313" i="5"/>
  <c r="D313" i="5"/>
  <c r="C313" i="5"/>
  <c r="B313" i="5"/>
  <c r="A313" i="5"/>
  <c r="H312" i="5"/>
  <c r="G312" i="5"/>
  <c r="F312" i="5"/>
  <c r="E312" i="5"/>
  <c r="D312" i="5"/>
  <c r="C312" i="5"/>
  <c r="B312" i="5"/>
  <c r="A312" i="5"/>
  <c r="H311" i="5"/>
  <c r="G311" i="5"/>
  <c r="F311" i="5"/>
  <c r="E311" i="5"/>
  <c r="D311" i="5"/>
  <c r="C311" i="5"/>
  <c r="B311" i="5"/>
  <c r="A311" i="5"/>
  <c r="H310" i="5"/>
  <c r="G310" i="5"/>
  <c r="F310" i="5"/>
  <c r="E310" i="5"/>
  <c r="D310" i="5"/>
  <c r="C310" i="5"/>
  <c r="B310" i="5"/>
  <c r="A310" i="5"/>
  <c r="H309" i="5"/>
  <c r="G309" i="5"/>
  <c r="F309" i="5"/>
  <c r="E309" i="5"/>
  <c r="D309" i="5"/>
  <c r="C309" i="5"/>
  <c r="B309" i="5"/>
  <c r="A309" i="5"/>
  <c r="H308" i="5"/>
  <c r="G308" i="5"/>
  <c r="F308" i="5"/>
  <c r="E308" i="5"/>
  <c r="D308" i="5"/>
  <c r="C308" i="5"/>
  <c r="B308" i="5"/>
  <c r="A308" i="5"/>
  <c r="H307" i="5"/>
  <c r="G307" i="5"/>
  <c r="F307" i="5"/>
  <c r="E307" i="5"/>
  <c r="D307" i="5"/>
  <c r="C307" i="5"/>
  <c r="B307" i="5"/>
  <c r="A307" i="5"/>
  <c r="H306" i="5"/>
  <c r="G306" i="5"/>
  <c r="F306" i="5"/>
  <c r="E306" i="5"/>
  <c r="D306" i="5"/>
  <c r="C306" i="5"/>
  <c r="B306" i="5"/>
  <c r="A306" i="5"/>
  <c r="H305" i="5"/>
  <c r="G305" i="5"/>
  <c r="F305" i="5"/>
  <c r="E305" i="5"/>
  <c r="D305" i="5"/>
  <c r="C305" i="5"/>
  <c r="B305" i="5"/>
  <c r="A305" i="5"/>
  <c r="H304" i="5"/>
  <c r="G304" i="5"/>
  <c r="F304" i="5"/>
  <c r="E304" i="5"/>
  <c r="D304" i="5"/>
  <c r="C304" i="5"/>
  <c r="B304" i="5"/>
  <c r="A304" i="5"/>
  <c r="H303" i="5"/>
  <c r="G303" i="5"/>
  <c r="F303" i="5"/>
  <c r="E303" i="5"/>
  <c r="D303" i="5"/>
  <c r="C303" i="5"/>
  <c r="B303" i="5"/>
  <c r="A303" i="5"/>
  <c r="H302" i="5"/>
  <c r="G302" i="5"/>
  <c r="F302" i="5"/>
  <c r="E302" i="5"/>
  <c r="D302" i="5"/>
  <c r="C302" i="5"/>
  <c r="B302" i="5"/>
  <c r="A302" i="5"/>
  <c r="H301" i="5"/>
  <c r="G301" i="5"/>
  <c r="F301" i="5"/>
  <c r="E301" i="5"/>
  <c r="D301" i="5"/>
  <c r="C301" i="5"/>
  <c r="B301" i="5"/>
  <c r="A301" i="5"/>
  <c r="H300" i="5"/>
  <c r="G300" i="5"/>
  <c r="F300" i="5"/>
  <c r="E300" i="5"/>
  <c r="D300" i="5"/>
  <c r="C300" i="5"/>
  <c r="B300" i="5"/>
  <c r="A300" i="5"/>
  <c r="H299" i="5"/>
  <c r="G299" i="5"/>
  <c r="F299" i="5"/>
  <c r="E299" i="5"/>
  <c r="D299" i="5"/>
  <c r="C299" i="5"/>
  <c r="B299" i="5"/>
  <c r="A299" i="5"/>
  <c r="H298" i="5"/>
  <c r="G298" i="5"/>
  <c r="F298" i="5"/>
  <c r="E298" i="5"/>
  <c r="D298" i="5"/>
  <c r="C298" i="5"/>
  <c r="B298" i="5"/>
  <c r="A298" i="5"/>
  <c r="H297" i="5"/>
  <c r="G297" i="5"/>
  <c r="F297" i="5"/>
  <c r="E297" i="5"/>
  <c r="D297" i="5"/>
  <c r="C297" i="5"/>
  <c r="B297" i="5"/>
  <c r="A297" i="5"/>
  <c r="H296" i="5"/>
  <c r="G296" i="5"/>
  <c r="F296" i="5"/>
  <c r="E296" i="5"/>
  <c r="D296" i="5"/>
  <c r="C296" i="5"/>
  <c r="B296" i="5"/>
  <c r="A296" i="5"/>
  <c r="H295" i="5"/>
  <c r="G295" i="5"/>
  <c r="F295" i="5"/>
  <c r="E295" i="5"/>
  <c r="D295" i="5"/>
  <c r="C295" i="5"/>
  <c r="B295" i="5"/>
  <c r="A295" i="5"/>
  <c r="H294" i="5"/>
  <c r="G294" i="5"/>
  <c r="F294" i="5"/>
  <c r="E294" i="5"/>
  <c r="D294" i="5"/>
  <c r="C294" i="5"/>
  <c r="B294" i="5"/>
  <c r="A294" i="5"/>
  <c r="H293" i="5"/>
  <c r="G293" i="5"/>
  <c r="F293" i="5"/>
  <c r="E293" i="5"/>
  <c r="D293" i="5"/>
  <c r="C293" i="5"/>
  <c r="B293" i="5"/>
  <c r="A293" i="5"/>
  <c r="H292" i="5"/>
  <c r="G292" i="5"/>
  <c r="F292" i="5"/>
  <c r="E292" i="5"/>
  <c r="D292" i="5"/>
  <c r="C292" i="5"/>
  <c r="B292" i="5"/>
  <c r="A292" i="5"/>
  <c r="H291" i="5"/>
  <c r="G291" i="5"/>
  <c r="F291" i="5"/>
  <c r="E291" i="5"/>
  <c r="D291" i="5"/>
  <c r="C291" i="5"/>
  <c r="B291" i="5"/>
  <c r="D317" i="5" s="1"/>
  <c r="A291" i="5"/>
  <c r="H290" i="5"/>
  <c r="G290" i="5"/>
  <c r="F290" i="5"/>
  <c r="E290" i="5"/>
  <c r="D290" i="5"/>
  <c r="C290" i="5"/>
  <c r="B290" i="5"/>
  <c r="A290" i="5"/>
  <c r="H289" i="5"/>
  <c r="G289" i="5"/>
  <c r="F289" i="5"/>
  <c r="E289" i="5"/>
  <c r="D289" i="5"/>
  <c r="C289" i="5"/>
  <c r="B289" i="5"/>
  <c r="A289" i="5"/>
  <c r="H288" i="5"/>
  <c r="G288" i="5"/>
  <c r="F288" i="5"/>
  <c r="E288" i="5"/>
  <c r="D288" i="5"/>
  <c r="C288" i="5"/>
  <c r="B288" i="5"/>
  <c r="C317" i="5" s="1"/>
  <c r="A288" i="5"/>
  <c r="H287" i="5"/>
  <c r="G287" i="5"/>
  <c r="F287" i="5"/>
  <c r="E287" i="5"/>
  <c r="D287" i="5"/>
  <c r="C287" i="5"/>
  <c r="B287" i="5"/>
  <c r="A287" i="5"/>
  <c r="H286" i="5"/>
  <c r="G286" i="5"/>
  <c r="F286" i="5"/>
  <c r="E286" i="5"/>
  <c r="D286" i="5"/>
  <c r="B317" i="5" s="1"/>
  <c r="C286" i="5"/>
  <c r="B286" i="5"/>
  <c r="G317" i="5" s="1"/>
  <c r="A286" i="5"/>
  <c r="H282" i="5"/>
  <c r="B282" i="5"/>
  <c r="H280" i="5"/>
  <c r="G280" i="5"/>
  <c r="F280" i="5"/>
  <c r="E280" i="5"/>
  <c r="D280" i="5"/>
  <c r="C280" i="5"/>
  <c r="B280" i="5"/>
  <c r="A280" i="5"/>
  <c r="H279" i="5"/>
  <c r="G279" i="5"/>
  <c r="F279" i="5"/>
  <c r="E279" i="5"/>
  <c r="D279" i="5"/>
  <c r="C279" i="5"/>
  <c r="B279" i="5"/>
  <c r="A279" i="5"/>
  <c r="H278" i="5"/>
  <c r="G278" i="5"/>
  <c r="F278" i="5"/>
  <c r="E278" i="5"/>
  <c r="D278" i="5"/>
  <c r="C278" i="5"/>
  <c r="B278" i="5"/>
  <c r="A278" i="5"/>
  <c r="H277" i="5"/>
  <c r="G277" i="5"/>
  <c r="F277" i="5"/>
  <c r="E277" i="5"/>
  <c r="D277" i="5"/>
  <c r="C277" i="5"/>
  <c r="B277" i="5"/>
  <c r="A277" i="5"/>
  <c r="H276" i="5"/>
  <c r="G276" i="5"/>
  <c r="F276" i="5"/>
  <c r="E276" i="5"/>
  <c r="D276" i="5"/>
  <c r="C276" i="5"/>
  <c r="B276" i="5"/>
  <c r="A276" i="5"/>
  <c r="H275" i="5"/>
  <c r="G275" i="5"/>
  <c r="F275" i="5"/>
  <c r="E275" i="5"/>
  <c r="D275" i="5"/>
  <c r="C275" i="5"/>
  <c r="B275" i="5"/>
  <c r="A275" i="5"/>
  <c r="H274" i="5"/>
  <c r="G274" i="5"/>
  <c r="F274" i="5"/>
  <c r="E274" i="5"/>
  <c r="D274" i="5"/>
  <c r="C274" i="5"/>
  <c r="B274" i="5"/>
  <c r="A274" i="5"/>
  <c r="H273" i="5"/>
  <c r="G273" i="5"/>
  <c r="F273" i="5"/>
  <c r="E273" i="5"/>
  <c r="D273" i="5"/>
  <c r="C273" i="5"/>
  <c r="B273" i="5"/>
  <c r="A273" i="5"/>
  <c r="H272" i="5"/>
  <c r="G272" i="5"/>
  <c r="F272" i="5"/>
  <c r="E272" i="5"/>
  <c r="D272" i="5"/>
  <c r="C272" i="5"/>
  <c r="B272" i="5"/>
  <c r="A272" i="5"/>
  <c r="H271" i="5"/>
  <c r="G271" i="5"/>
  <c r="F271" i="5"/>
  <c r="E271" i="5"/>
  <c r="D271" i="5"/>
  <c r="C271" i="5"/>
  <c r="B271" i="5"/>
  <c r="A271" i="5"/>
  <c r="H270" i="5"/>
  <c r="G270" i="5"/>
  <c r="F270" i="5"/>
  <c r="E270" i="5"/>
  <c r="D270" i="5"/>
  <c r="C270" i="5"/>
  <c r="B270" i="5"/>
  <c r="A270" i="5"/>
  <c r="H269" i="5"/>
  <c r="G269" i="5"/>
  <c r="F269" i="5"/>
  <c r="E269" i="5"/>
  <c r="D269" i="5"/>
  <c r="C269" i="5"/>
  <c r="B269" i="5"/>
  <c r="A269" i="5"/>
  <c r="H268" i="5"/>
  <c r="G268" i="5"/>
  <c r="F268" i="5"/>
  <c r="E268" i="5"/>
  <c r="D268" i="5"/>
  <c r="C268" i="5"/>
  <c r="B268" i="5"/>
  <c r="A268" i="5"/>
  <c r="H267" i="5"/>
  <c r="G267" i="5"/>
  <c r="F267" i="5"/>
  <c r="E267" i="5"/>
  <c r="D267" i="5"/>
  <c r="C267" i="5"/>
  <c r="B267" i="5"/>
  <c r="A267" i="5"/>
  <c r="H266" i="5"/>
  <c r="G266" i="5"/>
  <c r="F266" i="5"/>
  <c r="E266" i="5"/>
  <c r="D266" i="5"/>
  <c r="C266" i="5"/>
  <c r="B266" i="5"/>
  <c r="A266" i="5"/>
  <c r="H265" i="5"/>
  <c r="G265" i="5"/>
  <c r="F265" i="5"/>
  <c r="E265" i="5"/>
  <c r="D265" i="5"/>
  <c r="C265" i="5"/>
  <c r="B265" i="5"/>
  <c r="A265" i="5"/>
  <c r="H264" i="5"/>
  <c r="G264" i="5"/>
  <c r="F264" i="5"/>
  <c r="E264" i="5"/>
  <c r="D264" i="5"/>
  <c r="C264" i="5"/>
  <c r="B264" i="5"/>
  <c r="A264" i="5"/>
  <c r="H263" i="5"/>
  <c r="G263" i="5"/>
  <c r="F263" i="5"/>
  <c r="E263" i="5"/>
  <c r="D263" i="5"/>
  <c r="C263" i="5"/>
  <c r="B263" i="5"/>
  <c r="A263" i="5"/>
  <c r="H262" i="5"/>
  <c r="G262" i="5"/>
  <c r="F262" i="5"/>
  <c r="E262" i="5"/>
  <c r="D262" i="5"/>
  <c r="C262" i="5"/>
  <c r="B262" i="5"/>
  <c r="A262" i="5"/>
  <c r="H261" i="5"/>
  <c r="G261" i="5"/>
  <c r="F261" i="5"/>
  <c r="E261" i="5"/>
  <c r="D261" i="5"/>
  <c r="C261" i="5"/>
  <c r="B261" i="5"/>
  <c r="A261" i="5"/>
  <c r="H260" i="5"/>
  <c r="G260" i="5"/>
  <c r="F260" i="5"/>
  <c r="E260" i="5"/>
  <c r="D260" i="5"/>
  <c r="C260" i="5"/>
  <c r="B260" i="5"/>
  <c r="A260" i="5"/>
  <c r="H259" i="5"/>
  <c r="G259" i="5"/>
  <c r="F259" i="5"/>
  <c r="E259" i="5"/>
  <c r="D259" i="5"/>
  <c r="C259" i="5"/>
  <c r="B259" i="5"/>
  <c r="A259" i="5"/>
  <c r="H258" i="5"/>
  <c r="G258" i="5"/>
  <c r="F258" i="5"/>
  <c r="E258" i="5"/>
  <c r="D258" i="5"/>
  <c r="C258" i="5"/>
  <c r="B258" i="5"/>
  <c r="A258" i="5"/>
  <c r="H257" i="5"/>
  <c r="G257" i="5"/>
  <c r="F257" i="5"/>
  <c r="E257" i="5"/>
  <c r="D257" i="5"/>
  <c r="C257" i="5"/>
  <c r="B257" i="5"/>
  <c r="A257" i="5"/>
  <c r="H256" i="5"/>
  <c r="G256" i="5"/>
  <c r="F256" i="5"/>
  <c r="E256" i="5"/>
  <c r="D256" i="5"/>
  <c r="C256" i="5"/>
  <c r="B256" i="5"/>
  <c r="A256" i="5"/>
  <c r="H255" i="5"/>
  <c r="G255" i="5"/>
  <c r="F255" i="5"/>
  <c r="E255" i="5"/>
  <c r="D255" i="5"/>
  <c r="C255" i="5"/>
  <c r="B255" i="5"/>
  <c r="A255" i="5"/>
  <c r="H254" i="5"/>
  <c r="G254" i="5"/>
  <c r="F254" i="5"/>
  <c r="E254" i="5"/>
  <c r="D254" i="5"/>
  <c r="C254" i="5"/>
  <c r="B254" i="5"/>
  <c r="A254" i="5"/>
  <c r="H253" i="5"/>
  <c r="G253" i="5"/>
  <c r="F253" i="5"/>
  <c r="E253" i="5"/>
  <c r="D253" i="5"/>
  <c r="C253" i="5"/>
  <c r="B253" i="5"/>
  <c r="C282" i="5" s="1"/>
  <c r="A253" i="5"/>
  <c r="H252" i="5"/>
  <c r="G252" i="5"/>
  <c r="F252" i="5"/>
  <c r="E252" i="5"/>
  <c r="D252" i="5"/>
  <c r="C252" i="5"/>
  <c r="B252" i="5"/>
  <c r="A252" i="5"/>
  <c r="H251" i="5"/>
  <c r="G251" i="5"/>
  <c r="F251" i="5"/>
  <c r="E251" i="5"/>
  <c r="D251" i="5"/>
  <c r="F282" i="5" s="1"/>
  <c r="C251" i="5"/>
  <c r="B251" i="5"/>
  <c r="G282" i="5" s="1"/>
  <c r="A251" i="5"/>
  <c r="G247" i="5"/>
  <c r="B247" i="5"/>
  <c r="H245" i="5"/>
  <c r="G245" i="5"/>
  <c r="F245" i="5"/>
  <c r="E245" i="5"/>
  <c r="D245" i="5"/>
  <c r="C245" i="5"/>
  <c r="B245" i="5"/>
  <c r="A245" i="5"/>
  <c r="H244" i="5"/>
  <c r="G244" i="5"/>
  <c r="F244" i="5"/>
  <c r="E244" i="5"/>
  <c r="D244" i="5"/>
  <c r="C244" i="5"/>
  <c r="B244" i="5"/>
  <c r="A244" i="5"/>
  <c r="H243" i="5"/>
  <c r="G243" i="5"/>
  <c r="F243" i="5"/>
  <c r="E243" i="5"/>
  <c r="D243" i="5"/>
  <c r="C243" i="5"/>
  <c r="B243" i="5"/>
  <c r="A243" i="5"/>
  <c r="H242" i="5"/>
  <c r="G242" i="5"/>
  <c r="F242" i="5"/>
  <c r="E242" i="5"/>
  <c r="D242" i="5"/>
  <c r="C242" i="5"/>
  <c r="B242" i="5"/>
  <c r="A242" i="5"/>
  <c r="H241" i="5"/>
  <c r="G241" i="5"/>
  <c r="F241" i="5"/>
  <c r="E241" i="5"/>
  <c r="D241" i="5"/>
  <c r="C241" i="5"/>
  <c r="B241" i="5"/>
  <c r="A241" i="5"/>
  <c r="H240" i="5"/>
  <c r="G240" i="5"/>
  <c r="F240" i="5"/>
  <c r="E240" i="5"/>
  <c r="D240" i="5"/>
  <c r="C240" i="5"/>
  <c r="B240" i="5"/>
  <c r="A240" i="5"/>
  <c r="H239" i="5"/>
  <c r="G239" i="5"/>
  <c r="F239" i="5"/>
  <c r="E239" i="5"/>
  <c r="D239" i="5"/>
  <c r="C239" i="5"/>
  <c r="B239" i="5"/>
  <c r="A239" i="5"/>
  <c r="H238" i="5"/>
  <c r="G238" i="5"/>
  <c r="F238" i="5"/>
  <c r="E238" i="5"/>
  <c r="D238" i="5"/>
  <c r="C238" i="5"/>
  <c r="B238" i="5"/>
  <c r="A238" i="5"/>
  <c r="H237" i="5"/>
  <c r="G237" i="5"/>
  <c r="F237" i="5"/>
  <c r="E237" i="5"/>
  <c r="D237" i="5"/>
  <c r="C237" i="5"/>
  <c r="B237" i="5"/>
  <c r="A237" i="5"/>
  <c r="H236" i="5"/>
  <c r="G236" i="5"/>
  <c r="F236" i="5"/>
  <c r="E236" i="5"/>
  <c r="D236" i="5"/>
  <c r="C236" i="5"/>
  <c r="B236" i="5"/>
  <c r="A236" i="5"/>
  <c r="H235" i="5"/>
  <c r="G235" i="5"/>
  <c r="F235" i="5"/>
  <c r="E235" i="5"/>
  <c r="D235" i="5"/>
  <c r="C235" i="5"/>
  <c r="B235" i="5"/>
  <c r="A235" i="5"/>
  <c r="H234" i="5"/>
  <c r="G234" i="5"/>
  <c r="F234" i="5"/>
  <c r="E234" i="5"/>
  <c r="D234" i="5"/>
  <c r="C234" i="5"/>
  <c r="B234" i="5"/>
  <c r="A234" i="5"/>
  <c r="H233" i="5"/>
  <c r="G233" i="5"/>
  <c r="F233" i="5"/>
  <c r="E233" i="5"/>
  <c r="D233" i="5"/>
  <c r="C233" i="5"/>
  <c r="B233" i="5"/>
  <c r="A233" i="5"/>
  <c r="H232" i="5"/>
  <c r="G232" i="5"/>
  <c r="F232" i="5"/>
  <c r="E232" i="5"/>
  <c r="D232" i="5"/>
  <c r="C232" i="5"/>
  <c r="B232" i="5"/>
  <c r="A232" i="5"/>
  <c r="H231" i="5"/>
  <c r="G231" i="5"/>
  <c r="F231" i="5"/>
  <c r="E231" i="5"/>
  <c r="D231" i="5"/>
  <c r="C231" i="5"/>
  <c r="B231" i="5"/>
  <c r="A231" i="5"/>
  <c r="H230" i="5"/>
  <c r="G230" i="5"/>
  <c r="F230" i="5"/>
  <c r="E230" i="5"/>
  <c r="D230" i="5"/>
  <c r="C230" i="5"/>
  <c r="B230" i="5"/>
  <c r="A230" i="5"/>
  <c r="H229" i="5"/>
  <c r="G229" i="5"/>
  <c r="F229" i="5"/>
  <c r="E229" i="5"/>
  <c r="D229" i="5"/>
  <c r="C229" i="5"/>
  <c r="B229" i="5"/>
  <c r="A229" i="5"/>
  <c r="H228" i="5"/>
  <c r="G228" i="5"/>
  <c r="F228" i="5"/>
  <c r="E228" i="5"/>
  <c r="D228" i="5"/>
  <c r="C228" i="5"/>
  <c r="B228" i="5"/>
  <c r="A228" i="5"/>
  <c r="H227" i="5"/>
  <c r="G227" i="5"/>
  <c r="F227" i="5"/>
  <c r="E227" i="5"/>
  <c r="D227" i="5"/>
  <c r="C227" i="5"/>
  <c r="B227" i="5"/>
  <c r="A227" i="5"/>
  <c r="H226" i="5"/>
  <c r="G226" i="5"/>
  <c r="F226" i="5"/>
  <c r="E226" i="5"/>
  <c r="D226" i="5"/>
  <c r="C226" i="5"/>
  <c r="B226" i="5"/>
  <c r="A226" i="5"/>
  <c r="H225" i="5"/>
  <c r="G225" i="5"/>
  <c r="F225" i="5"/>
  <c r="E225" i="5"/>
  <c r="D225" i="5"/>
  <c r="C225" i="5"/>
  <c r="B225" i="5"/>
  <c r="A225" i="5"/>
  <c r="H224" i="5"/>
  <c r="G224" i="5"/>
  <c r="F224" i="5"/>
  <c r="E224" i="5"/>
  <c r="D224" i="5"/>
  <c r="C224" i="5"/>
  <c r="B224" i="5"/>
  <c r="A224" i="5"/>
  <c r="H223" i="5"/>
  <c r="G223" i="5"/>
  <c r="F223" i="5"/>
  <c r="E223" i="5"/>
  <c r="D223" i="5"/>
  <c r="C223" i="5"/>
  <c r="B223" i="5"/>
  <c r="A223" i="5"/>
  <c r="H222" i="5"/>
  <c r="G222" i="5"/>
  <c r="F222" i="5"/>
  <c r="E222" i="5"/>
  <c r="D222" i="5"/>
  <c r="C222" i="5"/>
  <c r="B222" i="5"/>
  <c r="A222" i="5"/>
  <c r="H221" i="5"/>
  <c r="G221" i="5"/>
  <c r="F221" i="5"/>
  <c r="E221" i="5"/>
  <c r="D221" i="5"/>
  <c r="C221" i="5"/>
  <c r="B221" i="5"/>
  <c r="D247" i="5" s="1"/>
  <c r="A221" i="5"/>
  <c r="H220" i="5"/>
  <c r="G220" i="5"/>
  <c r="F220" i="5"/>
  <c r="E220" i="5"/>
  <c r="D220" i="5"/>
  <c r="C220" i="5"/>
  <c r="B220" i="5"/>
  <c r="A220" i="5"/>
  <c r="H219" i="5"/>
  <c r="G219" i="5"/>
  <c r="F219" i="5"/>
  <c r="E219" i="5"/>
  <c r="D219" i="5"/>
  <c r="C219" i="5"/>
  <c r="B219" i="5"/>
  <c r="A219" i="5"/>
  <c r="H218" i="5"/>
  <c r="G218" i="5"/>
  <c r="F218" i="5"/>
  <c r="E218" i="5"/>
  <c r="D218" i="5"/>
  <c r="C218" i="5"/>
  <c r="B218" i="5"/>
  <c r="C247" i="5" s="1"/>
  <c r="A218" i="5"/>
  <c r="H217" i="5"/>
  <c r="G217" i="5"/>
  <c r="F217" i="5"/>
  <c r="E217" i="5"/>
  <c r="D217" i="5"/>
  <c r="C217" i="5"/>
  <c r="B217" i="5"/>
  <c r="A217" i="5"/>
  <c r="H216" i="5"/>
  <c r="G216" i="5"/>
  <c r="F216" i="5"/>
  <c r="H247" i="5" s="1"/>
  <c r="E216" i="5"/>
  <c r="D216" i="5"/>
  <c r="F247" i="5" s="1"/>
  <c r="C216" i="5"/>
  <c r="B216" i="5"/>
  <c r="A216" i="5"/>
  <c r="H212" i="5"/>
  <c r="F212" i="5"/>
  <c r="H210" i="5"/>
  <c r="G210" i="5"/>
  <c r="F210" i="5"/>
  <c r="E210" i="5"/>
  <c r="D210" i="5"/>
  <c r="C210" i="5"/>
  <c r="B210" i="5"/>
  <c r="A210" i="5"/>
  <c r="H209" i="5"/>
  <c r="G209" i="5"/>
  <c r="F209" i="5"/>
  <c r="E209" i="5"/>
  <c r="D209" i="5"/>
  <c r="C209" i="5"/>
  <c r="B209" i="5"/>
  <c r="A209" i="5"/>
  <c r="H208" i="5"/>
  <c r="G208" i="5"/>
  <c r="F208" i="5"/>
  <c r="E208" i="5"/>
  <c r="D208" i="5"/>
  <c r="C208" i="5"/>
  <c r="B208" i="5"/>
  <c r="A208" i="5"/>
  <c r="H207" i="5"/>
  <c r="G207" i="5"/>
  <c r="F207" i="5"/>
  <c r="E207" i="5"/>
  <c r="D207" i="5"/>
  <c r="C207" i="5"/>
  <c r="B207" i="5"/>
  <c r="A207" i="5"/>
  <c r="H206" i="5"/>
  <c r="G206" i="5"/>
  <c r="F206" i="5"/>
  <c r="E206" i="5"/>
  <c r="D206" i="5"/>
  <c r="C206" i="5"/>
  <c r="B206" i="5"/>
  <c r="A206" i="5"/>
  <c r="H205" i="5"/>
  <c r="G205" i="5"/>
  <c r="F205" i="5"/>
  <c r="E205" i="5"/>
  <c r="D205" i="5"/>
  <c r="C205" i="5"/>
  <c r="B205" i="5"/>
  <c r="A205" i="5"/>
  <c r="H204" i="5"/>
  <c r="G204" i="5"/>
  <c r="F204" i="5"/>
  <c r="E204" i="5"/>
  <c r="D204" i="5"/>
  <c r="C204" i="5"/>
  <c r="B204" i="5"/>
  <c r="A204" i="5"/>
  <c r="H203" i="5"/>
  <c r="G203" i="5"/>
  <c r="F203" i="5"/>
  <c r="E203" i="5"/>
  <c r="D203" i="5"/>
  <c r="C203" i="5"/>
  <c r="B203" i="5"/>
  <c r="A203" i="5"/>
  <c r="H202" i="5"/>
  <c r="G202" i="5"/>
  <c r="F202" i="5"/>
  <c r="E202" i="5"/>
  <c r="D202" i="5"/>
  <c r="C202" i="5"/>
  <c r="B202" i="5"/>
  <c r="A202" i="5"/>
  <c r="H201" i="5"/>
  <c r="G201" i="5"/>
  <c r="F201" i="5"/>
  <c r="E201" i="5"/>
  <c r="D201" i="5"/>
  <c r="C201" i="5"/>
  <c r="B201" i="5"/>
  <c r="A201" i="5"/>
  <c r="H200" i="5"/>
  <c r="G200" i="5"/>
  <c r="F200" i="5"/>
  <c r="E200" i="5"/>
  <c r="D200" i="5"/>
  <c r="C200" i="5"/>
  <c r="B200" i="5"/>
  <c r="A200" i="5"/>
  <c r="H199" i="5"/>
  <c r="G199" i="5"/>
  <c r="F199" i="5"/>
  <c r="E199" i="5"/>
  <c r="D199" i="5"/>
  <c r="C199" i="5"/>
  <c r="B199" i="5"/>
  <c r="A199" i="5"/>
  <c r="H198" i="5"/>
  <c r="G198" i="5"/>
  <c r="F198" i="5"/>
  <c r="E198" i="5"/>
  <c r="D198" i="5"/>
  <c r="C198" i="5"/>
  <c r="B198" i="5"/>
  <c r="A198" i="5"/>
  <c r="H197" i="5"/>
  <c r="G197" i="5"/>
  <c r="F197" i="5"/>
  <c r="E197" i="5"/>
  <c r="D197" i="5"/>
  <c r="C197" i="5"/>
  <c r="B197" i="5"/>
  <c r="A197" i="5"/>
  <c r="H196" i="5"/>
  <c r="G196" i="5"/>
  <c r="F196" i="5"/>
  <c r="E196" i="5"/>
  <c r="D196" i="5"/>
  <c r="C196" i="5"/>
  <c r="B196" i="5"/>
  <c r="A196" i="5"/>
  <c r="H195" i="5"/>
  <c r="G195" i="5"/>
  <c r="F195" i="5"/>
  <c r="E195" i="5"/>
  <c r="D195" i="5"/>
  <c r="C195" i="5"/>
  <c r="B195" i="5"/>
  <c r="A195" i="5"/>
  <c r="H194" i="5"/>
  <c r="G194" i="5"/>
  <c r="F194" i="5"/>
  <c r="E194" i="5"/>
  <c r="D194" i="5"/>
  <c r="C194" i="5"/>
  <c r="B194" i="5"/>
  <c r="A194" i="5"/>
  <c r="H193" i="5"/>
  <c r="G193" i="5"/>
  <c r="F193" i="5"/>
  <c r="E193" i="5"/>
  <c r="D193" i="5"/>
  <c r="C193" i="5"/>
  <c r="B193" i="5"/>
  <c r="A193" i="5"/>
  <c r="H192" i="5"/>
  <c r="G192" i="5"/>
  <c r="F192" i="5"/>
  <c r="E192" i="5"/>
  <c r="D192" i="5"/>
  <c r="C192" i="5"/>
  <c r="B192" i="5"/>
  <c r="A192" i="5"/>
  <c r="H191" i="5"/>
  <c r="G191" i="5"/>
  <c r="F191" i="5"/>
  <c r="E191" i="5"/>
  <c r="D191" i="5"/>
  <c r="C191" i="5"/>
  <c r="B191" i="5"/>
  <c r="A191" i="5"/>
  <c r="H190" i="5"/>
  <c r="G190" i="5"/>
  <c r="F190" i="5"/>
  <c r="E190" i="5"/>
  <c r="D190" i="5"/>
  <c r="C190" i="5"/>
  <c r="B190" i="5"/>
  <c r="A190" i="5"/>
  <c r="H189" i="5"/>
  <c r="G189" i="5"/>
  <c r="F189" i="5"/>
  <c r="E189" i="5"/>
  <c r="D189" i="5"/>
  <c r="C189" i="5"/>
  <c r="B189" i="5"/>
  <c r="A189" i="5"/>
  <c r="H188" i="5"/>
  <c r="G188" i="5"/>
  <c r="F188" i="5"/>
  <c r="E188" i="5"/>
  <c r="D188" i="5"/>
  <c r="C188" i="5"/>
  <c r="B188" i="5"/>
  <c r="A188" i="5"/>
  <c r="H187" i="5"/>
  <c r="G187" i="5"/>
  <c r="F187" i="5"/>
  <c r="E187" i="5"/>
  <c r="D187" i="5"/>
  <c r="C187" i="5"/>
  <c r="B187" i="5"/>
  <c r="A187" i="5"/>
  <c r="H186" i="5"/>
  <c r="G186" i="5"/>
  <c r="F186" i="5"/>
  <c r="E186" i="5"/>
  <c r="D186" i="5"/>
  <c r="C186" i="5"/>
  <c r="B186" i="5"/>
  <c r="A186" i="5"/>
  <c r="H185" i="5"/>
  <c r="G185" i="5"/>
  <c r="F185" i="5"/>
  <c r="E185" i="5"/>
  <c r="D185" i="5"/>
  <c r="C185" i="5"/>
  <c r="B185" i="5"/>
  <c r="A185" i="5"/>
  <c r="H184" i="5"/>
  <c r="G184" i="5"/>
  <c r="F184" i="5"/>
  <c r="E184" i="5"/>
  <c r="D184" i="5"/>
  <c r="C184" i="5"/>
  <c r="B184" i="5"/>
  <c r="A184" i="5"/>
  <c r="H183" i="5"/>
  <c r="G183" i="5"/>
  <c r="F183" i="5"/>
  <c r="E183" i="5"/>
  <c r="D183" i="5"/>
  <c r="C183" i="5"/>
  <c r="B183" i="5"/>
  <c r="C212" i="5" s="1"/>
  <c r="A183" i="5"/>
  <c r="H182" i="5"/>
  <c r="G182" i="5"/>
  <c r="F182" i="5"/>
  <c r="E182" i="5"/>
  <c r="D182" i="5"/>
  <c r="C182" i="5"/>
  <c r="B182" i="5"/>
  <c r="A182" i="5"/>
  <c r="H181" i="5"/>
  <c r="G181" i="5"/>
  <c r="F181" i="5"/>
  <c r="E181" i="5"/>
  <c r="D181" i="5"/>
  <c r="E212" i="5" s="1"/>
  <c r="C181" i="5"/>
  <c r="B181" i="5"/>
  <c r="G212" i="5" s="1"/>
  <c r="A181" i="5"/>
  <c r="G177" i="5"/>
  <c r="H175" i="5"/>
  <c r="G175" i="5"/>
  <c r="F175" i="5"/>
  <c r="E175" i="5"/>
  <c r="D175" i="5"/>
  <c r="C175" i="5"/>
  <c r="B175" i="5"/>
  <c r="A175" i="5"/>
  <c r="H174" i="5"/>
  <c r="G174" i="5"/>
  <c r="F174" i="5"/>
  <c r="E174" i="5"/>
  <c r="D174" i="5"/>
  <c r="C174" i="5"/>
  <c r="B174" i="5"/>
  <c r="A174" i="5"/>
  <c r="H173" i="5"/>
  <c r="G173" i="5"/>
  <c r="F173" i="5"/>
  <c r="E173" i="5"/>
  <c r="D173" i="5"/>
  <c r="C173" i="5"/>
  <c r="B173" i="5"/>
  <c r="A173" i="5"/>
  <c r="H172" i="5"/>
  <c r="G172" i="5"/>
  <c r="F172" i="5"/>
  <c r="E172" i="5"/>
  <c r="D172" i="5"/>
  <c r="C172" i="5"/>
  <c r="B172" i="5"/>
  <c r="A172" i="5"/>
  <c r="H171" i="5"/>
  <c r="G171" i="5"/>
  <c r="F171" i="5"/>
  <c r="E171" i="5"/>
  <c r="D171" i="5"/>
  <c r="C171" i="5"/>
  <c r="B171" i="5"/>
  <c r="A171" i="5"/>
  <c r="H170" i="5"/>
  <c r="G170" i="5"/>
  <c r="F170" i="5"/>
  <c r="E170" i="5"/>
  <c r="D170" i="5"/>
  <c r="C170" i="5"/>
  <c r="B170" i="5"/>
  <c r="A170" i="5"/>
  <c r="H169" i="5"/>
  <c r="G169" i="5"/>
  <c r="F169" i="5"/>
  <c r="E169" i="5"/>
  <c r="D169" i="5"/>
  <c r="C169" i="5"/>
  <c r="B169" i="5"/>
  <c r="A169" i="5"/>
  <c r="H168" i="5"/>
  <c r="G168" i="5"/>
  <c r="F168" i="5"/>
  <c r="E168" i="5"/>
  <c r="D168" i="5"/>
  <c r="C168" i="5"/>
  <c r="B168" i="5"/>
  <c r="A168" i="5"/>
  <c r="H167" i="5"/>
  <c r="G167" i="5"/>
  <c r="F167" i="5"/>
  <c r="E167" i="5"/>
  <c r="D167" i="5"/>
  <c r="C167" i="5"/>
  <c r="B167" i="5"/>
  <c r="A167" i="5"/>
  <c r="H166" i="5"/>
  <c r="G166" i="5"/>
  <c r="F166" i="5"/>
  <c r="E166" i="5"/>
  <c r="D166" i="5"/>
  <c r="C166" i="5"/>
  <c r="B166" i="5"/>
  <c r="A166" i="5"/>
  <c r="H165" i="5"/>
  <c r="G165" i="5"/>
  <c r="F165" i="5"/>
  <c r="E165" i="5"/>
  <c r="D165" i="5"/>
  <c r="C165" i="5"/>
  <c r="B165" i="5"/>
  <c r="A165" i="5"/>
  <c r="H164" i="5"/>
  <c r="G164" i="5"/>
  <c r="F164" i="5"/>
  <c r="E164" i="5"/>
  <c r="D164" i="5"/>
  <c r="C164" i="5"/>
  <c r="B164" i="5"/>
  <c r="A164" i="5"/>
  <c r="H163" i="5"/>
  <c r="G163" i="5"/>
  <c r="F163" i="5"/>
  <c r="E163" i="5"/>
  <c r="D163" i="5"/>
  <c r="C163" i="5"/>
  <c r="B163" i="5"/>
  <c r="A163" i="5"/>
  <c r="H162" i="5"/>
  <c r="G162" i="5"/>
  <c r="F162" i="5"/>
  <c r="E162" i="5"/>
  <c r="D162" i="5"/>
  <c r="C162" i="5"/>
  <c r="B162" i="5"/>
  <c r="A162" i="5"/>
  <c r="H161" i="5"/>
  <c r="G161" i="5"/>
  <c r="F161" i="5"/>
  <c r="E161" i="5"/>
  <c r="D161" i="5"/>
  <c r="C161" i="5"/>
  <c r="B161" i="5"/>
  <c r="A161" i="5"/>
  <c r="H160" i="5"/>
  <c r="G160" i="5"/>
  <c r="F160" i="5"/>
  <c r="E160" i="5"/>
  <c r="D160" i="5"/>
  <c r="C160" i="5"/>
  <c r="B160" i="5"/>
  <c r="A160" i="5"/>
  <c r="H159" i="5"/>
  <c r="G159" i="5"/>
  <c r="F159" i="5"/>
  <c r="E159" i="5"/>
  <c r="D159" i="5"/>
  <c r="C159" i="5"/>
  <c r="B159" i="5"/>
  <c r="A159" i="5"/>
  <c r="H158" i="5"/>
  <c r="G158" i="5"/>
  <c r="F158" i="5"/>
  <c r="E158" i="5"/>
  <c r="D158" i="5"/>
  <c r="C158" i="5"/>
  <c r="B158" i="5"/>
  <c r="A158" i="5"/>
  <c r="H157" i="5"/>
  <c r="G157" i="5"/>
  <c r="F157" i="5"/>
  <c r="E157" i="5"/>
  <c r="D157" i="5"/>
  <c r="C157" i="5"/>
  <c r="B157" i="5"/>
  <c r="A157" i="5"/>
  <c r="H156" i="5"/>
  <c r="G156" i="5"/>
  <c r="F156" i="5"/>
  <c r="E156" i="5"/>
  <c r="D156" i="5"/>
  <c r="C156" i="5"/>
  <c r="B156" i="5"/>
  <c r="A156" i="5"/>
  <c r="H155" i="5"/>
  <c r="G155" i="5"/>
  <c r="F155" i="5"/>
  <c r="E155" i="5"/>
  <c r="D155" i="5"/>
  <c r="C155" i="5"/>
  <c r="B155" i="5"/>
  <c r="A155" i="5"/>
  <c r="H154" i="5"/>
  <c r="G154" i="5"/>
  <c r="F154" i="5"/>
  <c r="E154" i="5"/>
  <c r="D154" i="5"/>
  <c r="C154" i="5"/>
  <c r="B154" i="5"/>
  <c r="A154" i="5"/>
  <c r="H153" i="5"/>
  <c r="G153" i="5"/>
  <c r="F153" i="5"/>
  <c r="E153" i="5"/>
  <c r="D153" i="5"/>
  <c r="C153" i="5"/>
  <c r="B153" i="5"/>
  <c r="A153" i="5"/>
  <c r="H152" i="5"/>
  <c r="G152" i="5"/>
  <c r="F152" i="5"/>
  <c r="E152" i="5"/>
  <c r="D152" i="5"/>
  <c r="C152" i="5"/>
  <c r="B152" i="5"/>
  <c r="A152" i="5"/>
  <c r="H151" i="5"/>
  <c r="G151" i="5"/>
  <c r="F151" i="5"/>
  <c r="E151" i="5"/>
  <c r="D151" i="5"/>
  <c r="C151" i="5"/>
  <c r="B151" i="5"/>
  <c r="A151" i="5"/>
  <c r="H150" i="5"/>
  <c r="G150" i="5"/>
  <c r="F150" i="5"/>
  <c r="E150" i="5"/>
  <c r="D150" i="5"/>
  <c r="C150" i="5"/>
  <c r="B150" i="5"/>
  <c r="A150" i="5"/>
  <c r="H149" i="5"/>
  <c r="G149" i="5"/>
  <c r="F149" i="5"/>
  <c r="E149" i="5"/>
  <c r="D149" i="5"/>
  <c r="C149" i="5"/>
  <c r="B149" i="5"/>
  <c r="A149" i="5"/>
  <c r="H148" i="5"/>
  <c r="G148" i="5"/>
  <c r="F148" i="5"/>
  <c r="E148" i="5"/>
  <c r="D148" i="5"/>
  <c r="C148" i="5"/>
  <c r="B148" i="5"/>
  <c r="A148" i="5"/>
  <c r="H147" i="5"/>
  <c r="G147" i="5"/>
  <c r="F147" i="5"/>
  <c r="E147" i="5"/>
  <c r="D147" i="5"/>
  <c r="C147" i="5"/>
  <c r="B147" i="5"/>
  <c r="A147" i="5"/>
  <c r="H146" i="5"/>
  <c r="G146" i="5"/>
  <c r="F146" i="5"/>
  <c r="H177" i="5" s="1"/>
  <c r="E146" i="5"/>
  <c r="D146" i="5"/>
  <c r="F177" i="5" s="1"/>
  <c r="C146" i="5"/>
  <c r="B146" i="5"/>
  <c r="A146" i="5"/>
  <c r="G142" i="5"/>
  <c r="F142" i="5"/>
  <c r="D142" i="5"/>
  <c r="H140" i="5"/>
  <c r="G140" i="5"/>
  <c r="F140" i="5"/>
  <c r="E140" i="5"/>
  <c r="D140" i="5"/>
  <c r="C140" i="5"/>
  <c r="B140" i="5"/>
  <c r="A140" i="5"/>
  <c r="H139" i="5"/>
  <c r="G139" i="5"/>
  <c r="F139" i="5"/>
  <c r="E139" i="5"/>
  <c r="D139" i="5"/>
  <c r="C139" i="5"/>
  <c r="B139" i="5"/>
  <c r="A139" i="5"/>
  <c r="H138" i="5"/>
  <c r="G138" i="5"/>
  <c r="F138" i="5"/>
  <c r="E138" i="5"/>
  <c r="D138" i="5"/>
  <c r="C138" i="5"/>
  <c r="B138" i="5"/>
  <c r="A138" i="5"/>
  <c r="H137" i="5"/>
  <c r="G137" i="5"/>
  <c r="F137" i="5"/>
  <c r="E137" i="5"/>
  <c r="D137" i="5"/>
  <c r="C137" i="5"/>
  <c r="B137" i="5"/>
  <c r="A137" i="5"/>
  <c r="H136" i="5"/>
  <c r="G136" i="5"/>
  <c r="F136" i="5"/>
  <c r="E136" i="5"/>
  <c r="D136" i="5"/>
  <c r="C136" i="5"/>
  <c r="B136" i="5"/>
  <c r="A136" i="5"/>
  <c r="H135" i="5"/>
  <c r="G135" i="5"/>
  <c r="F135" i="5"/>
  <c r="E135" i="5"/>
  <c r="D135" i="5"/>
  <c r="C135" i="5"/>
  <c r="B135" i="5"/>
  <c r="A135" i="5"/>
  <c r="H134" i="5"/>
  <c r="G134" i="5"/>
  <c r="F134" i="5"/>
  <c r="E134" i="5"/>
  <c r="D134" i="5"/>
  <c r="C134" i="5"/>
  <c r="B134" i="5"/>
  <c r="A134" i="5"/>
  <c r="H133" i="5"/>
  <c r="G133" i="5"/>
  <c r="F133" i="5"/>
  <c r="E133" i="5"/>
  <c r="D133" i="5"/>
  <c r="C133" i="5"/>
  <c r="B133" i="5"/>
  <c r="A133" i="5"/>
  <c r="H132" i="5"/>
  <c r="G132" i="5"/>
  <c r="F132" i="5"/>
  <c r="E132" i="5"/>
  <c r="D132" i="5"/>
  <c r="C132" i="5"/>
  <c r="B132" i="5"/>
  <c r="A132" i="5"/>
  <c r="H131" i="5"/>
  <c r="G131" i="5"/>
  <c r="F131" i="5"/>
  <c r="E131" i="5"/>
  <c r="D131" i="5"/>
  <c r="C131" i="5"/>
  <c r="B131" i="5"/>
  <c r="A131" i="5"/>
  <c r="H130" i="5"/>
  <c r="G130" i="5"/>
  <c r="F130" i="5"/>
  <c r="E130" i="5"/>
  <c r="D130" i="5"/>
  <c r="C130" i="5"/>
  <c r="B130" i="5"/>
  <c r="A130" i="5"/>
  <c r="H129" i="5"/>
  <c r="G129" i="5"/>
  <c r="F129" i="5"/>
  <c r="E129" i="5"/>
  <c r="D129" i="5"/>
  <c r="C129" i="5"/>
  <c r="B129" i="5"/>
  <c r="A129" i="5"/>
  <c r="H128" i="5"/>
  <c r="G128" i="5"/>
  <c r="F128" i="5"/>
  <c r="E128" i="5"/>
  <c r="D128" i="5"/>
  <c r="C128" i="5"/>
  <c r="B128" i="5"/>
  <c r="A128" i="5"/>
  <c r="H127" i="5"/>
  <c r="G127" i="5"/>
  <c r="F127" i="5"/>
  <c r="E127" i="5"/>
  <c r="D127" i="5"/>
  <c r="C127" i="5"/>
  <c r="B127" i="5"/>
  <c r="A127" i="5"/>
  <c r="H126" i="5"/>
  <c r="G126" i="5"/>
  <c r="F126" i="5"/>
  <c r="E126" i="5"/>
  <c r="D126" i="5"/>
  <c r="C126" i="5"/>
  <c r="B126" i="5"/>
  <c r="A126" i="5"/>
  <c r="H125" i="5"/>
  <c r="G125" i="5"/>
  <c r="F125" i="5"/>
  <c r="E125" i="5"/>
  <c r="D125" i="5"/>
  <c r="C125" i="5"/>
  <c r="B125" i="5"/>
  <c r="A125" i="5"/>
  <c r="H124" i="5"/>
  <c r="G124" i="5"/>
  <c r="F124" i="5"/>
  <c r="E124" i="5"/>
  <c r="D124" i="5"/>
  <c r="C124" i="5"/>
  <c r="B124" i="5"/>
  <c r="A124" i="5"/>
  <c r="H123" i="5"/>
  <c r="G123" i="5"/>
  <c r="F123" i="5"/>
  <c r="E123" i="5"/>
  <c r="D123" i="5"/>
  <c r="C123" i="5"/>
  <c r="B123" i="5"/>
  <c r="A123" i="5"/>
  <c r="H122" i="5"/>
  <c r="G122" i="5"/>
  <c r="F122" i="5"/>
  <c r="E122" i="5"/>
  <c r="D122" i="5"/>
  <c r="C122" i="5"/>
  <c r="B122" i="5"/>
  <c r="A122" i="5"/>
  <c r="H121" i="5"/>
  <c r="G121" i="5"/>
  <c r="F121" i="5"/>
  <c r="E121" i="5"/>
  <c r="D121" i="5"/>
  <c r="C121" i="5"/>
  <c r="B121" i="5"/>
  <c r="A121" i="5"/>
  <c r="H120" i="5"/>
  <c r="G120" i="5"/>
  <c r="F120" i="5"/>
  <c r="E120" i="5"/>
  <c r="D120" i="5"/>
  <c r="C120" i="5"/>
  <c r="B120" i="5"/>
  <c r="A120" i="5"/>
  <c r="H119" i="5"/>
  <c r="G119" i="5"/>
  <c r="F119" i="5"/>
  <c r="E119" i="5"/>
  <c r="D119" i="5"/>
  <c r="C119" i="5"/>
  <c r="B119" i="5"/>
  <c r="A119" i="5"/>
  <c r="H118" i="5"/>
  <c r="G118" i="5"/>
  <c r="F118" i="5"/>
  <c r="E118" i="5"/>
  <c r="D118" i="5"/>
  <c r="C118" i="5"/>
  <c r="B118" i="5"/>
  <c r="A118" i="5"/>
  <c r="H117" i="5"/>
  <c r="G117" i="5"/>
  <c r="F117" i="5"/>
  <c r="E117" i="5"/>
  <c r="D117" i="5"/>
  <c r="C117" i="5"/>
  <c r="B117" i="5"/>
  <c r="A117" i="5"/>
  <c r="H116" i="5"/>
  <c r="G116" i="5"/>
  <c r="F116" i="5"/>
  <c r="E116" i="5"/>
  <c r="D116" i="5"/>
  <c r="C116" i="5"/>
  <c r="B116" i="5"/>
  <c r="A116" i="5"/>
  <c r="H115" i="5"/>
  <c r="G115" i="5"/>
  <c r="F115" i="5"/>
  <c r="E115" i="5"/>
  <c r="D115" i="5"/>
  <c r="C115" i="5"/>
  <c r="B115" i="5"/>
  <c r="A115" i="5"/>
  <c r="H114" i="5"/>
  <c r="G114" i="5"/>
  <c r="F114" i="5"/>
  <c r="E114" i="5"/>
  <c r="D114" i="5"/>
  <c r="C114" i="5"/>
  <c r="B114" i="5"/>
  <c r="A114" i="5"/>
  <c r="H113" i="5"/>
  <c r="G113" i="5"/>
  <c r="F113" i="5"/>
  <c r="E113" i="5"/>
  <c r="D113" i="5"/>
  <c r="C113" i="5"/>
  <c r="B113" i="5"/>
  <c r="A113" i="5"/>
  <c r="H112" i="5"/>
  <c r="G112" i="5"/>
  <c r="F112" i="5"/>
  <c r="E112" i="5"/>
  <c r="D112" i="5"/>
  <c r="C112" i="5"/>
  <c r="B112" i="5"/>
  <c r="A112" i="5"/>
  <c r="H111" i="5"/>
  <c r="G111" i="5"/>
  <c r="F111" i="5"/>
  <c r="H142" i="5" s="1"/>
  <c r="E111" i="5"/>
  <c r="D111" i="5"/>
  <c r="E142" i="5" s="1"/>
  <c r="C111" i="5"/>
  <c r="B111" i="5"/>
  <c r="A111" i="5"/>
  <c r="H105" i="5"/>
  <c r="G105" i="5"/>
  <c r="F105" i="5"/>
  <c r="E105" i="5"/>
  <c r="D105" i="5"/>
  <c r="C105" i="5"/>
  <c r="B105" i="5"/>
  <c r="A105" i="5"/>
  <c r="H104" i="5"/>
  <c r="G104" i="5"/>
  <c r="F104" i="5"/>
  <c r="E104" i="5"/>
  <c r="D104" i="5"/>
  <c r="C104" i="5"/>
  <c r="B104" i="5"/>
  <c r="A104" i="5"/>
  <c r="H103" i="5"/>
  <c r="G103" i="5"/>
  <c r="F103" i="5"/>
  <c r="E103" i="5"/>
  <c r="D103" i="5"/>
  <c r="C103" i="5"/>
  <c r="B103" i="5"/>
  <c r="A103" i="5"/>
  <c r="H102" i="5"/>
  <c r="G102" i="5"/>
  <c r="F102" i="5"/>
  <c r="E102" i="5"/>
  <c r="D102" i="5"/>
  <c r="C102" i="5"/>
  <c r="B102" i="5"/>
  <c r="A102" i="5"/>
  <c r="H101" i="5"/>
  <c r="G101" i="5"/>
  <c r="F101" i="5"/>
  <c r="E101" i="5"/>
  <c r="D101" i="5"/>
  <c r="C101" i="5"/>
  <c r="B101" i="5"/>
  <c r="A101" i="5"/>
  <c r="H100" i="5"/>
  <c r="G100" i="5"/>
  <c r="F100" i="5"/>
  <c r="E100" i="5"/>
  <c r="D100" i="5"/>
  <c r="C100" i="5"/>
  <c r="B100" i="5"/>
  <c r="A100" i="5"/>
  <c r="H99" i="5"/>
  <c r="G99" i="5"/>
  <c r="F99" i="5"/>
  <c r="E99" i="5"/>
  <c r="D99" i="5"/>
  <c r="C99" i="5"/>
  <c r="B99" i="5"/>
  <c r="A99" i="5"/>
  <c r="H98" i="5"/>
  <c r="G98" i="5"/>
  <c r="F98" i="5"/>
  <c r="E98" i="5"/>
  <c r="D98" i="5"/>
  <c r="C98" i="5"/>
  <c r="B98" i="5"/>
  <c r="A98" i="5"/>
  <c r="H97" i="5"/>
  <c r="G97" i="5"/>
  <c r="F97" i="5"/>
  <c r="E97" i="5"/>
  <c r="D97" i="5"/>
  <c r="C97" i="5"/>
  <c r="B97" i="5"/>
  <c r="A97" i="5"/>
  <c r="H96" i="5"/>
  <c r="G96" i="5"/>
  <c r="F96" i="5"/>
  <c r="E96" i="5"/>
  <c r="D96" i="5"/>
  <c r="C96" i="5"/>
  <c r="B96" i="5"/>
  <c r="A96" i="5"/>
  <c r="H95" i="5"/>
  <c r="G95" i="5"/>
  <c r="F95" i="5"/>
  <c r="E95" i="5"/>
  <c r="D95" i="5"/>
  <c r="C95" i="5"/>
  <c r="B95" i="5"/>
  <c r="A95" i="5"/>
  <c r="H94" i="5"/>
  <c r="G94" i="5"/>
  <c r="F94" i="5"/>
  <c r="E94" i="5"/>
  <c r="D94" i="5"/>
  <c r="C94" i="5"/>
  <c r="B94" i="5"/>
  <c r="A94" i="5"/>
  <c r="H93" i="5"/>
  <c r="G93" i="5"/>
  <c r="F93" i="5"/>
  <c r="E93" i="5"/>
  <c r="D93" i="5"/>
  <c r="C93" i="5"/>
  <c r="B93" i="5"/>
  <c r="A93" i="5"/>
  <c r="H92" i="5"/>
  <c r="G92" i="5"/>
  <c r="F92" i="5"/>
  <c r="E92" i="5"/>
  <c r="D92" i="5"/>
  <c r="C92" i="5"/>
  <c r="B92" i="5"/>
  <c r="A92" i="5"/>
  <c r="H91" i="5"/>
  <c r="G91" i="5"/>
  <c r="F91" i="5"/>
  <c r="E91" i="5"/>
  <c r="D91" i="5"/>
  <c r="C91" i="5"/>
  <c r="B91" i="5"/>
  <c r="A91" i="5"/>
  <c r="H90" i="5"/>
  <c r="G90" i="5"/>
  <c r="F90" i="5"/>
  <c r="E90" i="5"/>
  <c r="D90" i="5"/>
  <c r="C90" i="5"/>
  <c r="B90" i="5"/>
  <c r="A90" i="5"/>
  <c r="H89" i="5"/>
  <c r="G89" i="5"/>
  <c r="F89" i="5"/>
  <c r="E89" i="5"/>
  <c r="D89" i="5"/>
  <c r="C89" i="5"/>
  <c r="B89" i="5"/>
  <c r="A89" i="5"/>
  <c r="H88" i="5"/>
  <c r="G88" i="5"/>
  <c r="F88" i="5"/>
  <c r="E88" i="5"/>
  <c r="D88" i="5"/>
  <c r="C88" i="5"/>
  <c r="B88" i="5"/>
  <c r="A88" i="5"/>
  <c r="H87" i="5"/>
  <c r="G87" i="5"/>
  <c r="F87" i="5"/>
  <c r="E87" i="5"/>
  <c r="D87" i="5"/>
  <c r="C87" i="5"/>
  <c r="B87" i="5"/>
  <c r="A87" i="5"/>
  <c r="H86" i="5"/>
  <c r="G86" i="5"/>
  <c r="F86" i="5"/>
  <c r="E86" i="5"/>
  <c r="D86" i="5"/>
  <c r="C86" i="5"/>
  <c r="B86" i="5"/>
  <c r="A86" i="5"/>
  <c r="H85" i="5"/>
  <c r="G85" i="5"/>
  <c r="F85" i="5"/>
  <c r="E85" i="5"/>
  <c r="D85" i="5"/>
  <c r="C85" i="5"/>
  <c r="B85" i="5"/>
  <c r="A85" i="5"/>
  <c r="H84" i="5"/>
  <c r="G84" i="5"/>
  <c r="F84" i="5"/>
  <c r="E84" i="5"/>
  <c r="D84" i="5"/>
  <c r="C84" i="5"/>
  <c r="B84" i="5"/>
  <c r="A84" i="5"/>
  <c r="H83" i="5"/>
  <c r="G83" i="5"/>
  <c r="F83" i="5"/>
  <c r="E83" i="5"/>
  <c r="D83" i="5"/>
  <c r="C83" i="5"/>
  <c r="B83" i="5"/>
  <c r="A83" i="5"/>
  <c r="H82" i="5"/>
  <c r="G82" i="5"/>
  <c r="F82" i="5"/>
  <c r="E82" i="5"/>
  <c r="D82" i="5"/>
  <c r="C82" i="5"/>
  <c r="B82" i="5"/>
  <c r="A82" i="5"/>
  <c r="H81" i="5"/>
  <c r="G81" i="5"/>
  <c r="F81" i="5"/>
  <c r="E81" i="5"/>
  <c r="D81" i="5"/>
  <c r="C81" i="5"/>
  <c r="B81" i="5"/>
  <c r="A81" i="5"/>
  <c r="H80" i="5"/>
  <c r="G80" i="5"/>
  <c r="F80" i="5"/>
  <c r="E80" i="5"/>
  <c r="D80" i="5"/>
  <c r="C80" i="5"/>
  <c r="B80" i="5"/>
  <c r="A80" i="5"/>
  <c r="H79" i="5"/>
  <c r="G79" i="5"/>
  <c r="F79" i="5"/>
  <c r="E79" i="5"/>
  <c r="D79" i="5"/>
  <c r="C79" i="5"/>
  <c r="B79" i="5"/>
  <c r="A79" i="5"/>
  <c r="H78" i="5"/>
  <c r="G78" i="5"/>
  <c r="F78" i="5"/>
  <c r="E78" i="5"/>
  <c r="D78" i="5"/>
  <c r="C78" i="5"/>
  <c r="B78" i="5"/>
  <c r="A78" i="5"/>
  <c r="H77" i="5"/>
  <c r="G77" i="5"/>
  <c r="F77" i="5"/>
  <c r="E77" i="5"/>
  <c r="D77" i="5"/>
  <c r="C77" i="5"/>
  <c r="B77" i="5"/>
  <c r="A77" i="5"/>
  <c r="H76" i="5"/>
  <c r="G76" i="5"/>
  <c r="F76" i="5"/>
  <c r="H107" i="5" s="1"/>
  <c r="E76" i="5"/>
  <c r="D76" i="5"/>
  <c r="D107" i="5" s="1"/>
  <c r="C76" i="5"/>
  <c r="B76" i="5"/>
  <c r="G107" i="5" s="1"/>
  <c r="A76" i="5"/>
  <c r="D72" i="5"/>
  <c r="B72" i="5"/>
  <c r="H70" i="5"/>
  <c r="G70" i="5"/>
  <c r="F70" i="5"/>
  <c r="E70" i="5"/>
  <c r="D70" i="5"/>
  <c r="C70" i="5"/>
  <c r="B70" i="5"/>
  <c r="A70" i="5"/>
  <c r="H69" i="5"/>
  <c r="G69" i="5"/>
  <c r="F69" i="5"/>
  <c r="E69" i="5"/>
  <c r="D69" i="5"/>
  <c r="C69" i="5"/>
  <c r="B69" i="5"/>
  <c r="A69" i="5"/>
  <c r="H68" i="5"/>
  <c r="G68" i="5"/>
  <c r="F68" i="5"/>
  <c r="E68" i="5"/>
  <c r="D68" i="5"/>
  <c r="C68" i="5"/>
  <c r="B68" i="5"/>
  <c r="A68" i="5"/>
  <c r="H67" i="5"/>
  <c r="G67" i="5"/>
  <c r="F67" i="5"/>
  <c r="E67" i="5"/>
  <c r="D67" i="5"/>
  <c r="C67" i="5"/>
  <c r="B67" i="5"/>
  <c r="A67" i="5"/>
  <c r="H66" i="5"/>
  <c r="G66" i="5"/>
  <c r="F66" i="5"/>
  <c r="E66" i="5"/>
  <c r="D66" i="5"/>
  <c r="C66" i="5"/>
  <c r="B66" i="5"/>
  <c r="A66" i="5"/>
  <c r="H65" i="5"/>
  <c r="G65" i="5"/>
  <c r="F65" i="5"/>
  <c r="E65" i="5"/>
  <c r="D65" i="5"/>
  <c r="C65" i="5"/>
  <c r="B65" i="5"/>
  <c r="A65" i="5"/>
  <c r="H64" i="5"/>
  <c r="G64" i="5"/>
  <c r="F64" i="5"/>
  <c r="E64" i="5"/>
  <c r="D64" i="5"/>
  <c r="C64" i="5"/>
  <c r="B64" i="5"/>
  <c r="A64" i="5"/>
  <c r="H63" i="5"/>
  <c r="G63" i="5"/>
  <c r="F63" i="5"/>
  <c r="E63" i="5"/>
  <c r="D63" i="5"/>
  <c r="C63" i="5"/>
  <c r="B63" i="5"/>
  <c r="A63" i="5"/>
  <c r="H62" i="5"/>
  <c r="G62" i="5"/>
  <c r="F62" i="5"/>
  <c r="E62" i="5"/>
  <c r="D62" i="5"/>
  <c r="C62" i="5"/>
  <c r="B62" i="5"/>
  <c r="A62" i="5"/>
  <c r="H61" i="5"/>
  <c r="G61" i="5"/>
  <c r="F61" i="5"/>
  <c r="E61" i="5"/>
  <c r="D61" i="5"/>
  <c r="C61" i="5"/>
  <c r="B61" i="5"/>
  <c r="A61" i="5"/>
  <c r="H60" i="5"/>
  <c r="G60" i="5"/>
  <c r="F60" i="5"/>
  <c r="E60" i="5"/>
  <c r="D60" i="5"/>
  <c r="C60" i="5"/>
  <c r="B60" i="5"/>
  <c r="A60" i="5"/>
  <c r="H59" i="5"/>
  <c r="G59" i="5"/>
  <c r="F59" i="5"/>
  <c r="E59" i="5"/>
  <c r="D59" i="5"/>
  <c r="C59" i="5"/>
  <c r="B59" i="5"/>
  <c r="A59" i="5"/>
  <c r="H58" i="5"/>
  <c r="G58" i="5"/>
  <c r="F58" i="5"/>
  <c r="E58" i="5"/>
  <c r="D58" i="5"/>
  <c r="C58" i="5"/>
  <c r="B58" i="5"/>
  <c r="A58" i="5"/>
  <c r="H57" i="5"/>
  <c r="G57" i="5"/>
  <c r="F57" i="5"/>
  <c r="E57" i="5"/>
  <c r="D57" i="5"/>
  <c r="C57" i="5"/>
  <c r="B57" i="5"/>
  <c r="A57" i="5"/>
  <c r="H56" i="5"/>
  <c r="G56" i="5"/>
  <c r="F56" i="5"/>
  <c r="E56" i="5"/>
  <c r="D56" i="5"/>
  <c r="C56" i="5"/>
  <c r="B56" i="5"/>
  <c r="A56" i="5"/>
  <c r="H55" i="5"/>
  <c r="G55" i="5"/>
  <c r="F55" i="5"/>
  <c r="E55" i="5"/>
  <c r="D55" i="5"/>
  <c r="C55" i="5"/>
  <c r="B55" i="5"/>
  <c r="A55" i="5"/>
  <c r="H54" i="5"/>
  <c r="G54" i="5"/>
  <c r="F54" i="5"/>
  <c r="H72" i="5" s="1"/>
  <c r="E54" i="5"/>
  <c r="D54" i="5"/>
  <c r="C72" i="5" s="1"/>
  <c r="C54" i="5"/>
  <c r="B54" i="5"/>
  <c r="G72" i="5" s="1"/>
  <c r="A54" i="5"/>
  <c r="D37" i="5"/>
  <c r="C37" i="5"/>
  <c r="H35" i="5"/>
  <c r="G35" i="5"/>
  <c r="F35" i="5"/>
  <c r="E35" i="5"/>
  <c r="D35" i="5"/>
  <c r="C35" i="5"/>
  <c r="B35" i="5"/>
  <c r="A35" i="5"/>
  <c r="H34" i="5"/>
  <c r="G34" i="5"/>
  <c r="F34" i="5"/>
  <c r="E34" i="5"/>
  <c r="D34" i="5"/>
  <c r="C34" i="5"/>
  <c r="B34" i="5"/>
  <c r="A34" i="5"/>
  <c r="H33" i="5"/>
  <c r="G33" i="5"/>
  <c r="F33" i="5"/>
  <c r="E33" i="5"/>
  <c r="D33" i="5"/>
  <c r="C33" i="5"/>
  <c r="B33" i="5"/>
  <c r="A33" i="5"/>
  <c r="H32" i="5"/>
  <c r="G32" i="5"/>
  <c r="F32" i="5"/>
  <c r="E32" i="5"/>
  <c r="D32" i="5"/>
  <c r="C32" i="5"/>
  <c r="B32" i="5"/>
  <c r="A32" i="5"/>
  <c r="H31" i="5"/>
  <c r="G31" i="5"/>
  <c r="F31" i="5"/>
  <c r="E31" i="5"/>
  <c r="D31" i="5"/>
  <c r="C31" i="5"/>
  <c r="B31" i="5"/>
  <c r="A31" i="5"/>
  <c r="H30" i="5"/>
  <c r="G30" i="5"/>
  <c r="F30" i="5"/>
  <c r="E30" i="5"/>
  <c r="D30" i="5"/>
  <c r="C30" i="5"/>
  <c r="B30" i="5"/>
  <c r="A30" i="5"/>
  <c r="H29" i="5"/>
  <c r="G29" i="5"/>
  <c r="F29" i="5"/>
  <c r="E29" i="5"/>
  <c r="D29" i="5"/>
  <c r="C29" i="5"/>
  <c r="B29" i="5"/>
  <c r="A29" i="5"/>
  <c r="H28" i="5"/>
  <c r="G28" i="5"/>
  <c r="F28" i="5"/>
  <c r="E28" i="5"/>
  <c r="D28" i="5"/>
  <c r="C28" i="5"/>
  <c r="B28" i="5"/>
  <c r="A28" i="5"/>
  <c r="H27" i="5"/>
  <c r="G27" i="5"/>
  <c r="F27" i="5"/>
  <c r="E27" i="5"/>
  <c r="D27" i="5"/>
  <c r="C27" i="5"/>
  <c r="B27" i="5"/>
  <c r="A27" i="5"/>
  <c r="H26" i="5"/>
  <c r="G26" i="5"/>
  <c r="F26" i="5"/>
  <c r="E26" i="5"/>
  <c r="D26" i="5"/>
  <c r="C26" i="5"/>
  <c r="B26" i="5"/>
  <c r="A26" i="5"/>
  <c r="H25" i="5"/>
  <c r="G25" i="5"/>
  <c r="F25" i="5"/>
  <c r="E25" i="5"/>
  <c r="D25" i="5"/>
  <c r="C25" i="5"/>
  <c r="B25" i="5"/>
  <c r="A25" i="5"/>
  <c r="H24" i="5"/>
  <c r="G24" i="5"/>
  <c r="F24" i="5"/>
  <c r="E24" i="5"/>
  <c r="D24" i="5"/>
  <c r="C24" i="5"/>
  <c r="B24" i="5"/>
  <c r="A24" i="5"/>
  <c r="H23" i="5"/>
  <c r="G23" i="5"/>
  <c r="F23" i="5"/>
  <c r="E23" i="5"/>
  <c r="D23" i="5"/>
  <c r="C23" i="5"/>
  <c r="B23" i="5"/>
  <c r="A23" i="5"/>
  <c r="H22" i="5"/>
  <c r="G22" i="5"/>
  <c r="F22" i="5"/>
  <c r="E22" i="5"/>
  <c r="D22" i="5"/>
  <c r="C22" i="5"/>
  <c r="B22" i="5"/>
  <c r="A22" i="5"/>
  <c r="H21" i="5"/>
  <c r="G21" i="5"/>
  <c r="F21" i="5"/>
  <c r="E21" i="5"/>
  <c r="D21" i="5"/>
  <c r="C21" i="5"/>
  <c r="B21" i="5"/>
  <c r="A21" i="5"/>
  <c r="H20" i="5"/>
  <c r="G20" i="5"/>
  <c r="F20" i="5"/>
  <c r="E20" i="5"/>
  <c r="D20" i="5"/>
  <c r="C20" i="5"/>
  <c r="B20" i="5"/>
  <c r="A20" i="5"/>
  <c r="H19" i="5"/>
  <c r="G19" i="5"/>
  <c r="F19" i="5"/>
  <c r="H37" i="5" s="1"/>
  <c r="E19" i="5"/>
  <c r="D19" i="5"/>
  <c r="B37" i="5" s="1"/>
  <c r="C19" i="5"/>
  <c r="B19" i="5"/>
  <c r="G37" i="5" s="1"/>
  <c r="A19" i="5"/>
  <c r="B33" i="4"/>
  <c r="B8" i="1" s="1"/>
  <c r="M17" i="3"/>
  <c r="M16" i="3"/>
  <c r="M15" i="3"/>
  <c r="M14" i="3"/>
  <c r="C17" i="6" s="1"/>
  <c r="M13" i="3"/>
  <c r="C16" i="6" s="1"/>
  <c r="M12" i="3"/>
  <c r="C15" i="6" s="1"/>
  <c r="E15" i="6" s="1"/>
  <c r="M11" i="3"/>
  <c r="M10" i="3"/>
  <c r="C13" i="6" s="1"/>
  <c r="M9" i="3"/>
  <c r="M8" i="3"/>
  <c r="C9" i="12"/>
  <c r="M6" i="3"/>
  <c r="C9" i="6" s="1"/>
  <c r="C7" i="12"/>
  <c r="M4" i="3"/>
  <c r="C6" i="12" s="1"/>
  <c r="F6" i="12" s="1"/>
  <c r="G6" i="12" s="1"/>
  <c r="M3" i="3"/>
  <c r="E32" i="6"/>
  <c r="H20" i="6"/>
  <c r="D20" i="6"/>
  <c r="E20" i="6" s="1"/>
  <c r="C20" i="6"/>
  <c r="B20" i="6"/>
  <c r="A20" i="6"/>
  <c r="H19" i="6"/>
  <c r="F19" i="6"/>
  <c r="G19" i="6" s="1"/>
  <c r="D19" i="6"/>
  <c r="C19" i="6"/>
  <c r="E19" i="6" s="1"/>
  <c r="B19" i="6"/>
  <c r="A19" i="6"/>
  <c r="H18" i="6"/>
  <c r="D18" i="6"/>
  <c r="F18" i="6" s="1"/>
  <c r="C18" i="6"/>
  <c r="B18" i="6"/>
  <c r="A18" i="6"/>
  <c r="H17" i="6"/>
  <c r="D17" i="6"/>
  <c r="E17" i="6" s="1"/>
  <c r="B17" i="6"/>
  <c r="A17" i="6"/>
  <c r="H16" i="6"/>
  <c r="D16" i="6"/>
  <c r="E16" i="6" s="1"/>
  <c r="B16" i="6"/>
  <c r="A16" i="6"/>
  <c r="H15" i="6"/>
  <c r="F15" i="6"/>
  <c r="G15" i="6" s="1"/>
  <c r="D15" i="6"/>
  <c r="B15" i="6"/>
  <c r="A15" i="6"/>
  <c r="H14" i="6"/>
  <c r="D14" i="6"/>
  <c r="F14" i="6" s="1"/>
  <c r="C14" i="6"/>
  <c r="B14" i="6"/>
  <c r="A14" i="6"/>
  <c r="H13" i="6"/>
  <c r="D13" i="6"/>
  <c r="F13" i="6" s="1"/>
  <c r="B13" i="6"/>
  <c r="A13" i="6"/>
  <c r="H12" i="6"/>
  <c r="D12" i="6"/>
  <c r="E12" i="6" s="1"/>
  <c r="C12" i="6"/>
  <c r="B12" i="6"/>
  <c r="A12" i="6"/>
  <c r="H11" i="6"/>
  <c r="F11" i="6"/>
  <c r="G11" i="6" s="1"/>
  <c r="D11" i="6"/>
  <c r="E11" i="6" s="1"/>
  <c r="C11" i="6"/>
  <c r="B11" i="6"/>
  <c r="A11" i="6"/>
  <c r="H10" i="6"/>
  <c r="D10" i="6"/>
  <c r="B10" i="6"/>
  <c r="A10" i="6"/>
  <c r="H9" i="6"/>
  <c r="D9" i="6"/>
  <c r="B9" i="6"/>
  <c r="A9" i="6"/>
  <c r="H8" i="6"/>
  <c r="D8" i="6"/>
  <c r="B8" i="6"/>
  <c r="A8" i="6"/>
  <c r="H7" i="6"/>
  <c r="D7" i="6"/>
  <c r="B7" i="6"/>
  <c r="A7" i="6"/>
  <c r="H6" i="6"/>
  <c r="D6" i="6"/>
  <c r="B32" i="6" s="1"/>
  <c r="C6" i="6"/>
  <c r="B6" i="6"/>
  <c r="A6" i="6"/>
  <c r="E9" i="11" l="1"/>
  <c r="F9" i="11" s="1"/>
  <c r="B22" i="11"/>
  <c r="C10" i="6"/>
  <c r="F10" i="6" s="1"/>
  <c r="B10" i="1"/>
  <c r="I18" i="6"/>
  <c r="G18" i="6"/>
  <c r="J18" i="6"/>
  <c r="J13" i="6"/>
  <c r="I13" i="6"/>
  <c r="G13" i="6"/>
  <c r="K6" i="7"/>
  <c r="L6" i="7" s="1"/>
  <c r="K8" i="7"/>
  <c r="L8" i="7" s="1"/>
  <c r="K10" i="7"/>
  <c r="L10" i="7" s="1"/>
  <c r="F7" i="11"/>
  <c r="F9" i="6"/>
  <c r="I14" i="6"/>
  <c r="G14" i="6"/>
  <c r="J14" i="6"/>
  <c r="F7" i="12"/>
  <c r="G7" i="12" s="1"/>
  <c r="F9" i="12"/>
  <c r="G9" i="12" s="1"/>
  <c r="F12" i="6"/>
  <c r="E107" i="5"/>
  <c r="F107" i="5"/>
  <c r="E352" i="5"/>
  <c r="F387" i="5"/>
  <c r="G6" i="7"/>
  <c r="H6" i="7" s="1"/>
  <c r="G8" i="7"/>
  <c r="H8" i="7" s="1"/>
  <c r="G10" i="7"/>
  <c r="H10" i="7" s="1"/>
  <c r="G12" i="7"/>
  <c r="H12" i="7" s="1"/>
  <c r="G14" i="7"/>
  <c r="H14" i="7" s="1"/>
  <c r="K15" i="7"/>
  <c r="G16" i="7"/>
  <c r="H16" i="7" s="1"/>
  <c r="K17" i="7"/>
  <c r="G18" i="7"/>
  <c r="H18" i="7" s="1"/>
  <c r="K19" i="7"/>
  <c r="G20" i="7"/>
  <c r="H20" i="7" s="1"/>
  <c r="E5" i="10"/>
  <c r="E18" i="10" s="1"/>
  <c r="E9" i="10"/>
  <c r="E13" i="10"/>
  <c r="E17" i="10"/>
  <c r="F16" i="6"/>
  <c r="F20" i="6"/>
  <c r="E9" i="6"/>
  <c r="I11" i="6"/>
  <c r="E13" i="6"/>
  <c r="I15" i="6"/>
  <c r="J11" i="6"/>
  <c r="J15" i="6"/>
  <c r="F17" i="6"/>
  <c r="J19" i="6"/>
  <c r="E37" i="5"/>
  <c r="F72" i="5"/>
  <c r="B212" i="5"/>
  <c r="D282" i="5"/>
  <c r="E317" i="5"/>
  <c r="F352" i="5"/>
  <c r="F5" i="10"/>
  <c r="J5" i="10" s="1"/>
  <c r="E72" i="5"/>
  <c r="E6" i="6"/>
  <c r="C7" i="6"/>
  <c r="F7" i="6" s="1"/>
  <c r="E14" i="6"/>
  <c r="E18" i="6"/>
  <c r="F37" i="5"/>
  <c r="B177" i="5"/>
  <c r="E282" i="5"/>
  <c r="F317" i="5"/>
  <c r="E6" i="10"/>
  <c r="E10" i="10"/>
  <c r="E14" i="10"/>
  <c r="E387" i="5"/>
  <c r="F6" i="6"/>
  <c r="B142" i="5"/>
  <c r="C177" i="5"/>
  <c r="D212" i="5"/>
  <c r="E247" i="5"/>
  <c r="B422" i="5"/>
  <c r="I19" i="6"/>
  <c r="C8" i="6"/>
  <c r="F8" i="6" s="1"/>
  <c r="B107" i="5"/>
  <c r="C142" i="5"/>
  <c r="D177" i="5"/>
  <c r="B387" i="5"/>
  <c r="C422" i="5"/>
  <c r="K16" i="7"/>
  <c r="K18" i="7"/>
  <c r="K20" i="7"/>
  <c r="C8" i="12"/>
  <c r="F8" i="12" s="1"/>
  <c r="G8" i="12" s="1"/>
  <c r="C107" i="5"/>
  <c r="E177" i="5"/>
  <c r="C387" i="5"/>
  <c r="F22" i="11" l="1"/>
  <c r="E22" i="11"/>
  <c r="I10" i="6"/>
  <c r="G10" i="6"/>
  <c r="J10" i="6"/>
  <c r="E10" i="6"/>
  <c r="J8" i="6"/>
  <c r="I8" i="6"/>
  <c r="G8" i="6"/>
  <c r="J20" i="6"/>
  <c r="I20" i="6"/>
  <c r="G20" i="6"/>
  <c r="D26" i="6"/>
  <c r="I6" i="6"/>
  <c r="E25" i="6"/>
  <c r="D25" i="6"/>
  <c r="G6" i="6"/>
  <c r="E26" i="6"/>
  <c r="E35" i="6"/>
  <c r="E28" i="6"/>
  <c r="D27" i="6"/>
  <c r="D28" i="6"/>
  <c r="E34" i="6"/>
  <c r="E27" i="6"/>
  <c r="E33" i="6"/>
  <c r="J6" i="6"/>
  <c r="J17" i="6"/>
  <c r="I17" i="6"/>
  <c r="G17" i="6"/>
  <c r="J16" i="6"/>
  <c r="I16" i="6"/>
  <c r="G16" i="6"/>
  <c r="E8" i="6"/>
  <c r="B35" i="6"/>
  <c r="J9" i="6"/>
  <c r="I9" i="6"/>
  <c r="G9" i="6"/>
  <c r="J12" i="6"/>
  <c r="I12" i="6"/>
  <c r="G12" i="6"/>
  <c r="E7" i="6"/>
  <c r="G7" i="6"/>
  <c r="J7" i="6"/>
  <c r="I7" i="6"/>
  <c r="B33" i="6"/>
  <c r="B34" i="6" l="1"/>
</calcChain>
</file>

<file path=xl/sharedStrings.xml><?xml version="1.0" encoding="utf-8"?>
<sst xmlns="http://schemas.openxmlformats.org/spreadsheetml/2006/main" count="1132" uniqueCount="378">
  <si>
    <t>CREDIT UTILIZATION ALERT SYSTEM</t>
  </si>
  <si>
    <t>Real-time monitoring: Stay under 30% (ideally under 10%) for optimal credit score</t>
  </si>
  <si>
    <t>CURRENT CARD STATUS</t>
  </si>
  <si>
    <t>Card ID</t>
  </si>
  <si>
    <t>Bank</t>
  </si>
  <si>
    <t>Current Balance</t>
  </si>
  <si>
    <t>Credit Limit</t>
  </si>
  <si>
    <t>Available Credit</t>
  </si>
  <si>
    <t>Utilization %</t>
  </si>
  <si>
    <t>Status</t>
  </si>
  <si>
    <t>Monthly Bills</t>
  </si>
  <si>
    <t>Danger Level</t>
  </si>
  <si>
    <t>Action Needed</t>
  </si>
  <si>
    <t>UTILIZATION SUMMARY</t>
  </si>
  <si>
    <t>Status Level</t>
  </si>
  <si>
    <t>Utilization Range</t>
  </si>
  <si>
    <t>Impact on Credit</t>
  </si>
  <si>
    <t>Card Count</t>
  </si>
  <si>
    <t>Total Balance</t>
  </si>
  <si>
    <t>✓ SAFE</t>
  </si>
  <si>
    <t>Under 10%</t>
  </si>
  <si>
    <t>Excellent!</t>
  </si>
  <si>
    <t>⚠ Warning</t>
  </si>
  <si>
    <t>10% - 29.9%</t>
  </si>
  <si>
    <t>Watch closely</t>
  </si>
  <si>
    <t>🔶 CAUTION</t>
  </si>
  <si>
    <t>30% - 49.9%</t>
  </si>
  <si>
    <t>Hurts score!</t>
  </si>
  <si>
    <t>🚨 DANGER</t>
  </si>
  <si>
    <t>50%+</t>
  </si>
  <si>
    <t>Major damage!</t>
  </si>
  <si>
    <t>OVERALL METRICS</t>
  </si>
  <si>
    <t>Total Credit Limit:</t>
  </si>
  <si>
    <t>Active Cards:</t>
  </si>
  <si>
    <t>Total Balance:</t>
  </si>
  <si>
    <t>Cards Over 30%:</t>
  </si>
  <si>
    <t>Total Available:</t>
  </si>
  <si>
    <t>Cards Over 50%:</t>
  </si>
  <si>
    <t>Overall Utilization:</t>
  </si>
  <si>
    <t>Avg Utilization:</t>
  </si>
  <si>
    <t>CREDIT CARD FLOAT CALCULATOR - ULTIMATE EDITION</t>
  </si>
  <si>
    <t>NEW: Monthly Bill Tracking + Payment Action Lists</t>
  </si>
  <si>
    <t>KEY METRICS</t>
  </si>
  <si>
    <t>Monthly Income:</t>
  </si>
  <si>
    <t>Total Active Bills:</t>
  </si>
  <si>
    <t>Net After Bills:</t>
  </si>
  <si>
    <t>Total Credit Card Debt:</t>
  </si>
  <si>
    <t>Total Credit Available:</t>
  </si>
  <si>
    <t>Active Bills:</t>
  </si>
  <si>
    <t>Payoff Strategy:</t>
  </si>
  <si>
    <t>PayInFull</t>
  </si>
  <si>
    <t>QUICK START GUIDE:</t>
  </si>
  <si>
    <t>STEP 1 - SETUP:</t>
  </si>
  <si>
    <t xml:space="preserve">   • Enter your monthly income and choose your payoff strategy</t>
  </si>
  <si>
    <t>STEP 2 - CREDIT CARDS:</t>
  </si>
  <si>
    <t xml:space="preserve">   • Enter all 15 cards with APRs, limits, statement/due/credit report days</t>
  </si>
  <si>
    <t>STEP 3 - BILL MASTER LIST:</t>
  </si>
  <si>
    <t xml:space="preserve">   • List all 30 recurring bills</t>
  </si>
  <si>
    <t xml:space="preserve">   • Assign each bill to a specific card (Card1-Card15)</t>
  </si>
  <si>
    <t>STEP 4 - 2026 MONTHLY BILLS (NEW!):</t>
  </si>
  <si>
    <t xml:space="preserve">   • See every month Jan-Dec with bills automatically populated</t>
  </si>
  <si>
    <t xml:space="preserve">   • Shows EXACTLY which bills hit which cards each month</t>
  </si>
  <si>
    <t xml:space="preserve">   • Card totals calculated automatically for each month</t>
  </si>
  <si>
    <t>STEP 5 - CARD PAYMENT SCHEDULE (NEW!):</t>
  </si>
  <si>
    <t xml:space="preserve">   • Shows charges, payments, and balances for each card by month</t>
  </si>
  <si>
    <t xml:space="preserve">   • Track your payoff progress month-by-month</t>
  </si>
  <si>
    <t>STEP 6 - PAYMENT ACTION LIST (NEW!):</t>
  </si>
  <si>
    <t xml:space="preserve">   • Your monthly to-do list!</t>
  </si>
  <si>
    <t xml:space="preserve">   • Shows EXACTLY how much to pay on each card</t>
  </si>
  <si>
    <t xml:space="preserve">   • Shows when each payment is due</t>
  </si>
  <si>
    <t xml:space="preserve">   • Checkbox to track when you've paid</t>
  </si>
  <si>
    <t>HOW IT WORKS:</t>
  </si>
  <si>
    <t xml:space="preserve">   1. Bills automatically flow from Master List to monthly schedules</t>
  </si>
  <si>
    <t xml:space="preserve">   2. Each month shows which cards get charged for which bills</t>
  </si>
  <si>
    <t xml:space="preserve">   3. Payment Action List tells you EXACTLY what to pay and when</t>
  </si>
  <si>
    <t xml:space="preserve">   4. Float strategy: Pay full statement balance by due date = $0 interest</t>
  </si>
  <si>
    <t xml:space="preserve">   5. Avalanche strategy: Pay minimums + attack highest APR first</t>
  </si>
  <si>
    <t>Credit Card Float &amp; Debt Payoff Calculator - ULTIMATE EDITION</t>
  </si>
  <si>
    <t>GLOBAL SETTINGS</t>
  </si>
  <si>
    <t>Setting</t>
  </si>
  <si>
    <t>Value</t>
  </si>
  <si>
    <t>Notes</t>
  </si>
  <si>
    <t>Monthly Take-Home Income</t>
  </si>
  <si>
    <t>Your net income after taxes</t>
  </si>
  <si>
    <t>Start Year</t>
  </si>
  <si>
    <t>Year for monthly bill tracking</t>
  </si>
  <si>
    <t>Payoff Strategy</t>
  </si>
  <si>
    <t>PayInFull or AvalancheExtra</t>
  </si>
  <si>
    <t>Extra Debt Budget</t>
  </si>
  <si>
    <t>Extra $ per month for debt (if Avalanche)</t>
  </si>
  <si>
    <t>Simulation Months</t>
  </si>
  <si>
    <t>How many months to project</t>
  </si>
  <si>
    <t>CREDIT CARDS (Up to 15 Cards)</t>
  </si>
  <si>
    <t>Bank Name</t>
  </si>
  <si>
    <t>APR (Annual %)</t>
  </si>
  <si>
    <t>Statement Day</t>
  </si>
  <si>
    <t>Due Day</t>
  </si>
  <si>
    <t>Credit Report Day</t>
  </si>
  <si>
    <t>Starting Balance</t>
  </si>
  <si>
    <t>Min Payment %</t>
  </si>
  <si>
    <t>Min Payment Floor</t>
  </si>
  <si>
    <t>Active</t>
  </si>
  <si>
    <t>Cash Advance Balance</t>
  </si>
  <si>
    <t>Total Current Balance</t>
  </si>
  <si>
    <t>Cash Advance APR (Annual %)</t>
  </si>
  <si>
    <t>Cash Advance Fee %</t>
  </si>
  <si>
    <t>Cash Advance Flat Fee</t>
  </si>
  <si>
    <t>Card1</t>
  </si>
  <si>
    <t>Navy Federal Card</t>
  </si>
  <si>
    <t>Yes</t>
  </si>
  <si>
    <t>Card2</t>
  </si>
  <si>
    <t>Indigo 3069</t>
  </si>
  <si>
    <t>Card3</t>
  </si>
  <si>
    <t>Indigo 1448</t>
  </si>
  <si>
    <t>Card4</t>
  </si>
  <si>
    <t xml:space="preserve">Milestone 5093 </t>
  </si>
  <si>
    <t>Card5</t>
  </si>
  <si>
    <t>Destiny 3992</t>
  </si>
  <si>
    <t>Card6</t>
  </si>
  <si>
    <t>No</t>
  </si>
  <si>
    <t>Card7</t>
  </si>
  <si>
    <t>Card8</t>
  </si>
  <si>
    <t>Card9</t>
  </si>
  <si>
    <t>Card10</t>
  </si>
  <si>
    <t>Card11</t>
  </si>
  <si>
    <t>Card12</t>
  </si>
  <si>
    <t>Card13</t>
  </si>
  <si>
    <t>Card14</t>
  </si>
  <si>
    <t>Card15</t>
  </si>
  <si>
    <t>MONTHLY BILLS MASTER LIST (Up to 30 Bills)</t>
  </si>
  <si>
    <t>Bill Name</t>
  </si>
  <si>
    <t>Amount</t>
  </si>
  <si>
    <t>Pay Via</t>
  </si>
  <si>
    <t>Category</t>
  </si>
  <si>
    <t>Late Fee</t>
  </si>
  <si>
    <t>Grace Period (Days)</t>
  </si>
  <si>
    <t>Late Fee Notes</t>
  </si>
  <si>
    <t>Storage 1</t>
  </si>
  <si>
    <t>Housing</t>
  </si>
  <si>
    <t>Lien risk after 30 days late</t>
  </si>
  <si>
    <t>Storage 2</t>
  </si>
  <si>
    <t>Storage 3</t>
  </si>
  <si>
    <t>Storage 4</t>
  </si>
  <si>
    <t>Intuit</t>
  </si>
  <si>
    <t>Utilities</t>
  </si>
  <si>
    <t>Service suspended if unpaid</t>
  </si>
  <si>
    <t>Cell Phone</t>
  </si>
  <si>
    <t>Phone</t>
  </si>
  <si>
    <t>Service disconnected after 30 days</t>
  </si>
  <si>
    <t>Car Payment</t>
  </si>
  <si>
    <t>Auto</t>
  </si>
  <si>
    <t>Repo risk after 60+ days. Hits credit report at 30 days.</t>
  </si>
  <si>
    <t>Car Insurance</t>
  </si>
  <si>
    <t>Policy cancellation after lapse</t>
  </si>
  <si>
    <t>Gas/Fuel</t>
  </si>
  <si>
    <t>Variable expense - no late fee</t>
  </si>
  <si>
    <t>Groceries</t>
  </si>
  <si>
    <t>Health</t>
  </si>
  <si>
    <t>Klarna</t>
  </si>
  <si>
    <t>Entertainment</t>
  </si>
  <si>
    <t>Hits credit after 30 days late</t>
  </si>
  <si>
    <t>Affirm</t>
  </si>
  <si>
    <t>Food</t>
  </si>
  <si>
    <t>No late fee but hits credit at 30 days</t>
  </si>
  <si>
    <t>NTTA</t>
  </si>
  <si>
    <t>Can block vehicle registration. TxTag balance required.</t>
  </si>
  <si>
    <t>Total Monthly Bills</t>
  </si>
  <si>
    <t>2026 MONTHLY BILL SCHEDULE</t>
  </si>
  <si>
    <t>All active bills auto-populate. Includes due dates, late fees, and card assignments.</t>
  </si>
  <si>
    <t>January 2026</t>
  </si>
  <si>
    <t>Pay Via (Card)</t>
  </si>
  <si>
    <t>Grace Days</t>
  </si>
  <si>
    <t>CARD TOTALS:</t>
  </si>
  <si>
    <t>Card1:</t>
  </si>
  <si>
    <t>Card2:</t>
  </si>
  <si>
    <t>Card3:</t>
  </si>
  <si>
    <t>Card4:</t>
  </si>
  <si>
    <t>Card5:</t>
  </si>
  <si>
    <t>MONTH TOTAL:</t>
  </si>
  <si>
    <t>Late Fee Risk: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</si>
  <si>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</si>
  <si>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</si>
  <si>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</si>
  <si>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</si>
  <si>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</si>
  <si>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</si>
  <si>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</si>
  <si>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</si>
  <si>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</si>
  <si>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</si>
  <si>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</si>
  <si>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SMART BILL ASSIGNMENT ENGINE</t>
  </si>
  <si>
    <t>Tells you EXACTLY which card to use for each bill to stay under 30% utilization</t>
  </si>
  <si>
    <t>CARD CAPACITY OVERVIEW (How much room each card has)</t>
  </si>
  <si>
    <t>30% Threshold</t>
  </si>
  <si>
    <t>Room to 30%</t>
  </si>
  <si>
    <t>10% Threshold</t>
  </si>
  <si>
    <t>Room to 10%</t>
  </si>
  <si>
    <t>Bills Assigned</t>
  </si>
  <si>
    <t>Balance After Bills</t>
  </si>
  <si>
    <t>Util After Bills</t>
  </si>
  <si>
    <t>Status After Bills</t>
  </si>
  <si>
    <t>MONTHLY PAYMENT PLAN - Which Card Pays Which Bill</t>
  </si>
  <si>
    <t>Sorted by DUE DATE so you know what to pay FIRST each month</t>
  </si>
  <si>
    <t>#</t>
  </si>
  <si>
    <t>Due Day of Month</t>
  </si>
  <si>
    <t>Assigned Card</t>
  </si>
  <si>
    <t>Card Bank</t>
  </si>
  <si>
    <t>Card Due Day</t>
  </si>
  <si>
    <t>Card Report Day</t>
  </si>
  <si>
    <t>Late Fee If Missed</t>
  </si>
  <si>
    <t>Grace Period</t>
  </si>
  <si>
    <t>Consequence</t>
  </si>
  <si>
    <t>Priority</t>
  </si>
  <si>
    <t>Day 1</t>
  </si>
  <si>
    <t>Day 10</t>
  </si>
  <si>
    <t>Day 17</t>
  </si>
  <si>
    <t>5 days</t>
  </si>
  <si>
    <t>🔴 HIGH</t>
  </si>
  <si>
    <t>Day 20</t>
  </si>
  <si>
    <t>Day 27</t>
  </si>
  <si>
    <t>None</t>
  </si>
  <si>
    <t>🟢 LOW</t>
  </si>
  <si>
    <t>Day 3</t>
  </si>
  <si>
    <t>10 days</t>
  </si>
  <si>
    <t>Day 5</t>
  </si>
  <si>
    <t>🟡 MEDIUM</t>
  </si>
  <si>
    <t>Day 15</t>
  </si>
  <si>
    <t>Day 22</t>
  </si>
  <si>
    <t>Day 12</t>
  </si>
  <si>
    <t>Day 7</t>
  </si>
  <si>
    <t>30 days</t>
  </si>
  <si>
    <t>TOTAL MONTHLY BILLS:</t>
  </si>
  <si>
    <t>TOTAL LATE FEE EXPOSURE:</t>
  </si>
  <si>
    <t>PER-CARD MONTHLY PAYMENT SUMMARY - What to Pay Each Card</t>
  </si>
  <si>
    <t>This is your ACTION LIST - Pay this amount to each card each month to cover all bills</t>
  </si>
  <si>
    <t>Bills on This Card</t>
  </si>
  <si>
    <t>Total Monthly Charges</t>
  </si>
  <si>
    <t>Balance After Charges</t>
  </si>
  <si>
    <t>Util After Charges</t>
  </si>
  <si>
    <t>Pay THIS to Card</t>
  </si>
  <si>
    <t>Target Balance After</t>
  </si>
  <si>
    <t>Target Util</t>
  </si>
  <si>
    <t>Storage 1, Car Insurance, Storage 2</t>
  </si>
  <si>
    <t>Storage 4, Storage 3, Klarna, Intuit</t>
  </si>
  <si>
    <t>Groceries, Car Payment, Cell Phone</t>
  </si>
  <si>
    <t>NTTA, Affirm</t>
  </si>
  <si>
    <t>TOTAL TO PAY:</t>
  </si>
  <si>
    <t>PAYMENT CALENDAR - When to Pay What (Sorted by Date)</t>
  </si>
  <si>
    <t>Your day-by-day payment schedule for each month</t>
  </si>
  <si>
    <t>Day</t>
  </si>
  <si>
    <t>What to Pay</t>
  </si>
  <si>
    <t>Pay Using</t>
  </si>
  <si>
    <t>💳 Pay Storage 1</t>
  </si>
  <si>
    <t>Bill due. Lien risk after 30 days late</t>
  </si>
  <si>
    <t>💳 Pay Groceries</t>
  </si>
  <si>
    <t>Bill due. Variable expense - no late fee</t>
  </si>
  <si>
    <t>🏦 PAY Card5 (Destiny 3992)</t>
  </si>
  <si>
    <t>Bank Account</t>
  </si>
  <si>
    <t>Card payment due! Pay at least $630.00 for this month's bills. Late = interest + credit hit.</t>
  </si>
  <si>
    <t>💳 Pay Car Payment</t>
  </si>
  <si>
    <t>Bill due. Repo risk after 60+ days. Hits credit report at 30 days.</t>
  </si>
  <si>
    <t>💳 Pay Cell Phone</t>
  </si>
  <si>
    <t>Bill due. Service disconnected after 30 days</t>
  </si>
  <si>
    <t>🏦 PAY Card4 (Milestone 5093 )</t>
  </si>
  <si>
    <t>Card payment due! Pay at least $200.00 for this month's bills. Late = interest + credit hit.</t>
  </si>
  <si>
    <t>📊 Card5 REPORTS TO BUREAUS</t>
  </si>
  <si>
    <t>⚠️ KEY DATE</t>
  </si>
  <si>
    <t>Balance reported to credit bureaus! Pay DOWN Card5 BEFORE this date to lower reported utilization.</t>
  </si>
  <si>
    <t>💳 Pay Storage 4</t>
  </si>
  <si>
    <t>💳 Pay Car Insurance</t>
  </si>
  <si>
    <t>Bill due. Policy cancellation after lapse</t>
  </si>
  <si>
    <t>🏦 PAY Card1 (Navy Federal Card)</t>
  </si>
  <si>
    <t>Card payment due! Pay at least $679.60 for this month's bills. Late = interest + credit hit.</t>
  </si>
  <si>
    <t>💳 Pay Storage 2</t>
  </si>
  <si>
    <t>📊 Card4 REPORTS TO BUREAUS</t>
  </si>
  <si>
    <t>Balance reported to credit bureaus! Pay DOWN Card4 BEFORE this date to lower reported utilization.</t>
  </si>
  <si>
    <t>💳 Pay Storage 3</t>
  </si>
  <si>
    <t>💳 Pay Gas/Fuel</t>
  </si>
  <si>
    <t>💳 Pay Klarna</t>
  </si>
  <si>
    <t>Bill due. Hits credit after 30 days late</t>
  </si>
  <si>
    <t>💳 Pay NTTA</t>
  </si>
  <si>
    <t>Bill due. Can block vehicle registration. TxTag balance required.</t>
  </si>
  <si>
    <t>🏦 PAY Card2 (Indigo 3069)</t>
  </si>
  <si>
    <t>Card payment due! Pay at least $398.00 for this month's bills. Late = interest + credit hit.</t>
  </si>
  <si>
    <t>📊 Card1 REPORTS TO BUREAUS</t>
  </si>
  <si>
    <t>Balance reported to credit bureaus! Pay DOWN Card1 BEFORE this date to lower reported utilization.</t>
  </si>
  <si>
    <t>💳 Pay Intuit</t>
  </si>
  <si>
    <t>Bill due. Service suspended if unpaid</t>
  </si>
  <si>
    <t>💳 Pay Affirm</t>
  </si>
  <si>
    <t>Bill due. No late fee but hits credit at 30 days</t>
  </si>
  <si>
    <t>🏦 PAY Card3 (Indigo 1448)</t>
  </si>
  <si>
    <t>Card payment due! Pay at least $1265.00 for this month's bills. Late = interest + credit hit.</t>
  </si>
  <si>
    <t>📊 Card2 REPORTS TO BUREAUS</t>
  </si>
  <si>
    <t>Balance reported to credit bureaus! Pay DOWN Card2 BEFORE this date to lower reported utilization.</t>
  </si>
  <si>
    <t>📊 Card3 REPORTS TO BUREAUS</t>
  </si>
  <si>
    <t>Balance reported to credit bureaus! Pay DOWN Card3 BEFORE this date to lower reported utilization.</t>
  </si>
  <si>
    <t>CARD-BY-CARD PAYMENT SCHEDULE</t>
  </si>
  <si>
    <t>Shows exactly how much to pay on each card, each month</t>
  </si>
  <si>
    <t>Month</t>
  </si>
  <si>
    <t>Card1 Charges</t>
  </si>
  <si>
    <t>Card1 Payment</t>
  </si>
  <si>
    <t>Card1 Balance</t>
  </si>
  <si>
    <t>Card2 Charges</t>
  </si>
  <si>
    <t>Card2 Payment</t>
  </si>
  <si>
    <t>Card2 Balance</t>
  </si>
  <si>
    <t>Card3 Charges</t>
  </si>
  <si>
    <t>Card3 Payment</t>
  </si>
  <si>
    <t>Card3 Balance</t>
  </si>
  <si>
    <t>Card4 Charges</t>
  </si>
  <si>
    <t>Card4 Payment</t>
  </si>
  <si>
    <t>Card4 Balance</t>
  </si>
  <si>
    <t>Card5 Charges</t>
  </si>
  <si>
    <t>Card5 Payment</t>
  </si>
  <si>
    <t>Card5 Balance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</si>
  <si>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</si>
  <si>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</si>
  <si>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</si>
  <si>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</si>
  <si>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</si>
  <si>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</si>
  <si>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</si>
  <si>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</si>
  <si>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</si>
  <si>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</si>
  <si>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</si>
  <si>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</si>
  <si>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FORMULAS TO ADD:</t>
  </si>
  <si>
    <t>For each card and month:</t>
  </si>
  <si>
    <t>• CHARGES = Sum of bills assigned to that card for that month</t>
  </si>
  <si>
    <t>• PAYMENT = Based on strategy:</t>
  </si>
  <si>
    <t xml:space="preserve">  - PayInFull: Payment = Previous Balance + New Charges</t>
  </si>
  <si>
    <t xml:space="preserve">  - AvalancheExtra: Payment = Minimum + (extra allocated by highest APR)</t>
  </si>
  <si>
    <t>• BALANCE = Previous Balance + New Charges + Interest - Payment</t>
  </si>
  <si>
    <t>PURCHASE INTEREST:</t>
  </si>
  <si>
    <t>CASH ADVANCE INTEREST:</t>
  </si>
  <si>
    <t>TOTAL INTEREST:</t>
  </si>
  <si>
    <t>CASH ADVANCE FEE (if new CA):</t>
  </si>
  <si>
    <t>MONTHLY PAYMENT ACTION LIST</t>
  </si>
  <si>
    <t>Your monthly to-do list: Which card to pay, when, and how much</t>
  </si>
  <si>
    <t>January 2026 - PAYMENT CHECKLIST</t>
  </si>
  <si>
    <t>Card</t>
  </si>
  <si>
    <t>Bills Charged</t>
  </si>
  <si>
    <t>Total Charges</t>
  </si>
  <si>
    <t>Payment Due</t>
  </si>
  <si>
    <t>Due Date</t>
  </si>
  <si>
    <t>See 2026 Monthly Bills</t>
  </si>
  <si>
    <t>☐ Paid</t>
  </si>
  <si>
    <t>February 2026 - PAYMENT CHECKLIST</t>
  </si>
  <si>
    <t>March 2026 - PAYMENT CHECKLIST</t>
  </si>
  <si>
    <t>April 2026 - PAYMENT CHECKLIST</t>
  </si>
  <si>
    <t>May 2026 - PAYMENT CHECKLIST</t>
  </si>
  <si>
    <t>June 2026 - PAYMENT CHECKLIST</t>
  </si>
  <si>
    <t>July 2026 - PAYMENT CHECKLIST</t>
  </si>
  <si>
    <t>August 2026 - PAYMENT CHECKLIST</t>
  </si>
  <si>
    <t>September 2026 - PAYMENT CHECKLIST</t>
  </si>
  <si>
    <t>October 2026 - PAYMENT CHECKLIST</t>
  </si>
  <si>
    <t>November 2026 - PAYMENT CHECKLIST</t>
  </si>
  <si>
    <t>December 2026 - PAYMENT CHECKLIST</t>
  </si>
  <si>
    <t>CARD-BY-CARD SUMMARY</t>
  </si>
  <si>
    <t>APR</t>
  </si>
  <si>
    <t>Monthly Bills Assigned</t>
  </si>
  <si>
    <t>Alert Status</t>
  </si>
  <si>
    <t>TOTALS</t>
  </si>
  <si>
    <t>CASH ADVANCE INTEREST &amp; FEE CALCULATOR</t>
  </si>
  <si>
    <t>This sheet shows daily interest accumulation on cash advances.</t>
  </si>
  <si>
    <t>Cash advances accrue interest DAILY from day 1 (no grace period).</t>
  </si>
  <si>
    <t>CA Balance</t>
  </si>
  <si>
    <t>CA APR</t>
  </si>
  <si>
    <t>Daily Rate</t>
  </si>
  <si>
    <t>Daily Interest</t>
  </si>
  <si>
    <t>Monthly Interest (30 days)</t>
  </si>
  <si>
    <t>CA Fee %</t>
  </si>
  <si>
    <t>Flat Fee</t>
  </si>
  <si>
    <t>TOTAL</t>
  </si>
  <si>
    <t>🎯 PLATINUM CARD STRATEGY CENTER</t>
  </si>
  <si>
    <t>Real-time tactical recommendations per card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</si>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</sst>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46" x14ac:knownFonts="1">
    <font>
      <sz val="11"/>
      <color theme="1"/>
      <name val="Calibri"/>
      <family val="2"/>
      <scheme val="minor"/>
    </font>
    <font>
      <b/>
      <sz val="14"/>
      <color rgb="FF4472C4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b/>
      <sz val="12"/>
      <color rgb="FFFFFFFF"/>
      <name val="Calibri"/>
      <family val="2"/>
    </font>
    <font>
      <b/>
      <sz val="9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sz val="9"/>
      <name val="Calibri"/>
      <family val="2"/>
    </font>
    <font>
      <b/>
      <sz val="14"/>
      <color rgb="FFFFFFFF"/>
      <name val="Calibri"/>
      <family val="2"/>
    </font>
    <font>
      <i/>
      <sz val="10"/>
      <color rgb="FFC00000"/>
      <name val="Calibri"/>
      <family val="2"/>
    </font>
    <font>
      <i/>
      <sz val="8"/>
      <name val="Calibri"/>
      <family val="2"/>
    </font>
    <font>
      <b/>
      <sz val="16"/>
      <color rgb="FF4472C4"/>
      <name val="Calibri"/>
      <family val="2"/>
    </font>
    <font>
      <b/>
      <sz val="12"/>
      <color rgb="FFC00000"/>
      <name val="Calibri"/>
      <family val="2"/>
    </font>
    <font>
      <b/>
      <sz val="10"/>
      <name val="Calibri"/>
      <family val="2"/>
    </font>
    <font>
      <b/>
      <sz val="14"/>
      <color rgb="FF4472C4"/>
      <name val="Calibri"/>
      <family val="2"/>
    </font>
    <font>
      <i/>
      <sz val="10"/>
      <name val="Calibri"/>
      <family val="2"/>
    </font>
    <font>
      <b/>
      <sz val="12"/>
      <color rgb="FFFFFFFF"/>
      <name val="Calibri"/>
      <family val="2"/>
    </font>
    <font>
      <b/>
      <sz val="9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9"/>
      <color rgb="FFC00000"/>
      <name val="Calibri"/>
      <family val="2"/>
    </font>
    <font>
      <b/>
      <sz val="11"/>
      <color rgb="FFC00000"/>
      <name val="Calibri"/>
      <family val="2"/>
    </font>
    <font>
      <b/>
      <sz val="16"/>
      <color rgb="FFFFFFFF"/>
      <name val="Calibri"/>
      <family val="2"/>
    </font>
    <font>
      <i/>
      <sz val="10"/>
      <color rgb="FFC0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5700"/>
      <name val="Calibri"/>
      <family val="2"/>
    </font>
    <font>
      <b/>
      <sz val="11"/>
      <color rgb="FFC000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i/>
      <sz val="10"/>
      <color rgb="FF0D47A1"/>
      <name val="Calibri"/>
      <family val="2"/>
    </font>
    <font>
      <b/>
      <sz val="11"/>
      <color rgb="FF0D47A1"/>
      <name val="Calibri"/>
      <family val="2"/>
    </font>
    <font>
      <b/>
      <sz val="12"/>
      <name val="Calibri"/>
      <family val="2"/>
    </font>
    <font>
      <b/>
      <sz val="10"/>
      <color rgb="FFC00000"/>
      <name val="Calibri"/>
      <family val="2"/>
    </font>
    <font>
      <b/>
      <sz val="12"/>
      <color rgb="FFC00000"/>
      <name val="Calibri"/>
      <family val="2"/>
    </font>
    <font>
      <i/>
      <sz val="10"/>
      <color rgb="FF4A148C"/>
      <name val="Calibri"/>
      <family val="2"/>
    </font>
    <font>
      <i/>
      <sz val="10"/>
      <color rgb="FFBF360C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6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C00000"/>
        <bgColor rgb="FFC00000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FCE4EC"/>
        <bgColor rgb="FFFCE4EC"/>
      </patternFill>
    </fill>
    <fill>
      <patternFill patternType="solid">
        <fgColor rgb="FFC00000"/>
        <bgColor rgb="FFC0000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0D47A1"/>
        <bgColor rgb="FF0D47A1"/>
      </patternFill>
    </fill>
    <fill>
      <patternFill patternType="solid">
        <fgColor rgb="FF4A148C"/>
        <bgColor rgb="FF4A148C"/>
      </patternFill>
    </fill>
    <fill>
      <patternFill patternType="solid">
        <fgColor rgb="FFBF360C"/>
        <bgColor rgb="FFBF360C"/>
      </patternFill>
    </fill>
    <fill>
      <patternFill patternType="solid">
        <fgColor rgb="FFFFF3E0"/>
        <bgColor rgb="FFFFF3E0"/>
      </patternFill>
    </fill>
    <fill>
      <patternFill patternType="solid">
        <fgColor rgb="FFE3F2FD"/>
        <bgColor rgb="FFE3F2FD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1B433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7" fillId="0" borderId="0" xfId="0" applyFont="1"/>
    <xf numFmtId="164" fontId="0" fillId="0" borderId="0" xfId="0" applyNumberFormat="1"/>
    <xf numFmtId="10" fontId="0" fillId="0" borderId="0" xfId="0" applyNumberFormat="1"/>
    <xf numFmtId="0" fontId="3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3" fillId="3" borderId="1" xfId="0" applyFont="1" applyFill="1" applyBorder="1" applyAlignment="1">
      <alignment horizontal="center" wrapText="1"/>
    </xf>
    <xf numFmtId="10" fontId="0" fillId="0" borderId="1" xfId="0" applyNumberFormat="1" applyBorder="1"/>
    <xf numFmtId="0" fontId="6" fillId="3" borderId="1" xfId="0" applyFont="1" applyFill="1" applyBorder="1" applyAlignment="1">
      <alignment horizontal="center" wrapText="1"/>
    </xf>
    <xf numFmtId="0" fontId="7" fillId="0" borderId="1" xfId="0" applyFont="1" applyBorder="1"/>
    <xf numFmtId="0" fontId="9" fillId="0" borderId="0" xfId="0" applyFont="1"/>
    <xf numFmtId="0" fontId="13" fillId="0" borderId="1" xfId="0" applyFont="1" applyBorder="1"/>
    <xf numFmtId="164" fontId="7" fillId="5" borderId="1" xfId="0" applyNumberFormat="1" applyFont="1" applyFill="1" applyBorder="1"/>
    <xf numFmtId="0" fontId="7" fillId="4" borderId="0" xfId="0" applyFont="1" applyFill="1"/>
    <xf numFmtId="164" fontId="8" fillId="4" borderId="0" xfId="0" applyNumberFormat="1" applyFont="1" applyFill="1"/>
    <xf numFmtId="164" fontId="7" fillId="0" borderId="0" xfId="0" applyNumberFormat="1" applyFont="1"/>
    <xf numFmtId="164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/>
    <xf numFmtId="0" fontId="16" fillId="7" borderId="2" xfId="0" applyFont="1" applyFill="1" applyBorder="1" applyAlignment="1">
      <alignment horizontal="center" wrapText="1"/>
    </xf>
    <xf numFmtId="0" fontId="16" fillId="9" borderId="2" xfId="0" applyFont="1" applyFill="1" applyBorder="1"/>
    <xf numFmtId="0" fontId="20" fillId="9" borderId="2" xfId="0" applyFont="1" applyFill="1" applyBorder="1" applyAlignment="1">
      <alignment horizontal="center"/>
    </xf>
    <xf numFmtId="0" fontId="23" fillId="11" borderId="2" xfId="0" applyFont="1" applyFill="1" applyBorder="1"/>
    <xf numFmtId="164" fontId="21" fillId="10" borderId="2" xfId="0" applyNumberFormat="1" applyFont="1" applyFill="1" applyBorder="1"/>
    <xf numFmtId="164" fontId="24" fillId="11" borderId="2" xfId="0" applyNumberFormat="1" applyFont="1" applyFill="1" applyBorder="1"/>
    <xf numFmtId="165" fontId="0" fillId="0" borderId="2" xfId="0" applyNumberFormat="1" applyBorder="1"/>
    <xf numFmtId="0" fontId="16" fillId="7" borderId="2" xfId="0" applyFont="1" applyFill="1" applyBorder="1" applyAlignment="1">
      <alignment horizontal="center"/>
    </xf>
    <xf numFmtId="0" fontId="28" fillId="13" borderId="2" xfId="0" applyFont="1" applyFill="1" applyBorder="1"/>
    <xf numFmtId="0" fontId="21" fillId="0" borderId="2" xfId="0" applyFont="1" applyBorder="1"/>
    <xf numFmtId="164" fontId="21" fillId="0" borderId="2" xfId="0" applyNumberFormat="1" applyFont="1" applyBorder="1"/>
    <xf numFmtId="0" fontId="29" fillId="14" borderId="2" xfId="0" applyFont="1" applyFill="1" applyBorder="1"/>
    <xf numFmtId="0" fontId="30" fillId="15" borderId="2" xfId="0" applyFont="1" applyFill="1" applyBorder="1"/>
    <xf numFmtId="0" fontId="31" fillId="16" borderId="2" xfId="0" applyFont="1" applyFill="1" applyBorder="1"/>
    <xf numFmtId="0" fontId="21" fillId="0" borderId="0" xfId="0" applyFont="1"/>
    <xf numFmtId="164" fontId="22" fillId="0" borderId="0" xfId="0" applyNumberFormat="1" applyFont="1"/>
    <xf numFmtId="0" fontId="22" fillId="0" borderId="0" xfId="0" applyFont="1"/>
    <xf numFmtId="165" fontId="22" fillId="0" borderId="0" xfId="0" applyNumberFormat="1" applyFont="1"/>
    <xf numFmtId="0" fontId="34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2" fillId="0" borderId="2" xfId="0" applyFont="1" applyBorder="1"/>
    <xf numFmtId="164" fontId="35" fillId="0" borderId="2" xfId="0" applyNumberFormat="1" applyFont="1" applyBorder="1"/>
    <xf numFmtId="0" fontId="36" fillId="0" borderId="2" xfId="0" applyFont="1" applyBorder="1"/>
    <xf numFmtId="164" fontId="37" fillId="0" borderId="2" xfId="0" applyNumberFormat="1" applyFont="1" applyBorder="1"/>
    <xf numFmtId="164" fontId="19" fillId="17" borderId="2" xfId="0" applyNumberFormat="1" applyFont="1" applyFill="1" applyBorder="1" applyAlignment="1">
      <alignment horizontal="center"/>
    </xf>
    <xf numFmtId="0" fontId="35" fillId="0" borderId="2" xfId="0" applyFont="1" applyBorder="1"/>
    <xf numFmtId="164" fontId="32" fillId="12" borderId="2" xfId="0" applyNumberFormat="1" applyFont="1" applyFill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20" borderId="2" xfId="0" applyFont="1" applyFill="1" applyBorder="1" applyAlignment="1">
      <alignment horizontal="center"/>
    </xf>
    <xf numFmtId="0" fontId="21" fillId="20" borderId="2" xfId="0" applyFont="1" applyFill="1" applyBorder="1"/>
    <xf numFmtId="164" fontId="0" fillId="20" borderId="2" xfId="0" applyNumberFormat="1" applyFill="1" applyBorder="1"/>
    <xf numFmtId="0" fontId="0" fillId="20" borderId="2" xfId="0" applyFill="1" applyBorder="1"/>
    <xf numFmtId="0" fontId="0" fillId="20" borderId="2" xfId="0" applyFill="1" applyBorder="1" applyAlignment="1">
      <alignment horizontal="center"/>
    </xf>
    <xf numFmtId="0" fontId="0" fillId="20" borderId="2" xfId="0" applyFill="1" applyBorder="1" applyAlignment="1">
      <alignment wrapText="1"/>
    </xf>
    <xf numFmtId="0" fontId="21" fillId="21" borderId="2" xfId="0" applyFont="1" applyFill="1" applyBorder="1" applyAlignment="1">
      <alignment horizontal="center"/>
    </xf>
    <xf numFmtId="0" fontId="21" fillId="21" borderId="2" xfId="0" applyFont="1" applyFill="1" applyBorder="1"/>
    <xf numFmtId="164" fontId="0" fillId="21" borderId="2" xfId="0" applyNumberFormat="1" applyFill="1" applyBorder="1"/>
    <xf numFmtId="0" fontId="0" fillId="21" borderId="2" xfId="0" applyFill="1" applyBorder="1"/>
    <xf numFmtId="0" fontId="0" fillId="21" borderId="2" xfId="0" applyFill="1" applyBorder="1" applyAlignment="1">
      <alignment horizontal="center"/>
    </xf>
    <xf numFmtId="0" fontId="0" fillId="21" borderId="2" xfId="0" applyFill="1" applyBorder="1" applyAlignment="1">
      <alignment wrapText="1"/>
    </xf>
    <xf numFmtId="0" fontId="16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164" fontId="22" fillId="10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164" fontId="21" fillId="10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40" fillId="0" borderId="0" xfId="0" applyNumberFormat="1" applyFont="1"/>
    <xf numFmtId="10" fontId="40" fillId="0" borderId="0" xfId="0" applyNumberFormat="1" applyFont="1"/>
    <xf numFmtId="0" fontId="40" fillId="0" borderId="0" xfId="0" applyFont="1"/>
    <xf numFmtId="0" fontId="40" fillId="0" borderId="3" xfId="0" applyFont="1" applyBorder="1" applyAlignment="1">
      <alignment horizontal="left"/>
    </xf>
    <xf numFmtId="0" fontId="40" fillId="0" borderId="3" xfId="0" applyFont="1" applyBorder="1" applyAlignment="1">
      <alignment horizontal="right"/>
    </xf>
    <xf numFmtId="0" fontId="40" fillId="0" borderId="3" xfId="0" applyFont="1" applyBorder="1"/>
    <xf numFmtId="0" fontId="41" fillId="0" borderId="0" xfId="0" applyFont="1"/>
    <xf numFmtId="0" fontId="42" fillId="22" borderId="1" xfId="0" applyFont="1" applyFill="1" applyBorder="1" applyAlignment="1">
      <alignment horizontal="center" vertical="center" wrapText="1"/>
    </xf>
    <xf numFmtId="0" fontId="42" fillId="22" borderId="0" xfId="0" applyFont="1" applyFill="1" applyAlignment="1">
      <alignment horizontal="center" vertical="center" wrapText="1"/>
    </xf>
    <xf numFmtId="0" fontId="42" fillId="22" borderId="2" xfId="0" applyFont="1" applyFill="1" applyBorder="1" applyAlignment="1">
      <alignment horizontal="center" vertical="center" wrapText="1"/>
    </xf>
    <xf numFmtId="0" fontId="0" fillId="24" borderId="2" xfId="0" applyFill="1" applyBorder="1"/>
    <xf numFmtId="10" fontId="0" fillId="24" borderId="2" xfId="0" applyNumberFormat="1" applyFill="1" applyBorder="1"/>
    <xf numFmtId="0" fontId="25" fillId="12" borderId="0" xfId="0" applyFont="1" applyFill="1"/>
    <xf numFmtId="0" fontId="0" fillId="0" borderId="0" xfId="0"/>
    <xf numFmtId="0" fontId="26" fillId="0" borderId="0" xfId="0" applyFont="1"/>
    <xf numFmtId="0" fontId="27" fillId="8" borderId="0" xfId="0" applyFont="1" applyFill="1"/>
    <xf numFmtId="0" fontId="10" fillId="0" borderId="0" xfId="0" applyFont="1"/>
    <xf numFmtId="0" fontId="15" fillId="0" borderId="0" xfId="0" applyFont="1"/>
    <xf numFmtId="0" fontId="2" fillId="2" borderId="0" xfId="0" applyFont="1" applyFill="1"/>
    <xf numFmtId="0" fontId="14" fillId="0" borderId="0" xfId="0" applyFont="1"/>
    <xf numFmtId="0" fontId="1" fillId="0" borderId="0" xfId="0" applyFont="1"/>
    <xf numFmtId="0" fontId="43" fillId="23" borderId="2" xfId="0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 vertical="center"/>
    </xf>
    <xf numFmtId="0" fontId="19" fillId="8" borderId="0" xfId="0" applyFont="1" applyFill="1"/>
    <xf numFmtId="0" fontId="32" fillId="19" borderId="0" xfId="0" applyFont="1" applyFill="1"/>
    <xf numFmtId="0" fontId="32" fillId="18" borderId="0" xfId="0" applyFont="1" applyFill="1"/>
    <xf numFmtId="0" fontId="38" fillId="0" borderId="0" xfId="0" applyFont="1"/>
    <xf numFmtId="0" fontId="33" fillId="0" borderId="0" xfId="0" applyFont="1"/>
    <xf numFmtId="0" fontId="32" fillId="17" borderId="0" xfId="0" applyFont="1" applyFill="1"/>
    <xf numFmtId="0" fontId="39" fillId="0" borderId="0" xfId="0" applyFont="1"/>
    <xf numFmtId="0" fontId="4" fillId="0" borderId="0" xfId="0" applyFont="1"/>
    <xf numFmtId="0" fontId="12" fillId="0" borderId="0" xfId="0" applyFont="1"/>
    <xf numFmtId="0" fontId="5" fillId="6" borderId="0" xfId="0" applyFont="1" applyFill="1"/>
    <xf numFmtId="0" fontId="11" fillId="6" borderId="0" xfId="0" applyFont="1" applyFill="1"/>
    <xf numFmtId="10" fontId="0" fillId="0" borderId="2" xfId="0" applyNumberFormat="1" applyBorder="1"/>
    <xf numFmtId="0" fontId="35" fillId="23" borderId="0" xfId="0" applyFont="1" applyFill="1" applyAlignment="1">
      <alignment horizontal="left"/>
    </xf>
    <xf numFmtId="0" fontId="44" fillId="24" borderId="0" xfId="0" applyFont="1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4" borderId="0" xfId="0" applyFill="1"/>
    <xf numFmtId="0" fontId="17" fillId="24" borderId="0" xfId="0" applyFont="1" applyFill="1"/>
    <xf numFmtId="0" fontId="0" fillId="24" borderId="0" xfId="0" applyFill="1"/>
    <xf numFmtId="0" fontId="0" fillId="24" borderId="0" xfId="0" applyFill="1" applyAlignment="1">
      <alignment horizontal="center" vertical="center"/>
    </xf>
    <xf numFmtId="0" fontId="18" fillId="24" borderId="0" xfId="0" applyFont="1" applyFill="1"/>
    <xf numFmtId="0" fontId="45" fillId="25" borderId="0" xfId="0" applyFont="1" applyFill="1"/>
    <xf numFmtId="0" fontId="44" fillId="24" borderId="0" xfId="0" applyFont="1" applyFill="1"/>
    <xf numFmtId="0" fontId="4" fillId="2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sqref="A1:F1"/>
    </sheetView>
  </sheetViews>
  <sheetFormatPr defaultRowHeight="14.4" x14ac:dyDescent="0.3"/>
  <cols>
    <col min="1" max="1" width="30" customWidth="1"/>
    <col min="2" max="2" width="25" customWidth="1"/>
    <col min="3" max="6" width="15" customWidth="1"/>
  </cols>
  <sheetData>
    <row r="1" spans="1:6" ht="21" customHeight="1" x14ac:dyDescent="0.4">
      <c r="A1" s="92" t="s">
        <v>40</v>
      </c>
      <c r="B1" s="86"/>
      <c r="C1" s="86"/>
      <c r="D1" s="86"/>
      <c r="E1" s="86"/>
      <c r="F1" s="86"/>
    </row>
    <row r="3" spans="1:6" ht="15.6" customHeight="1" x14ac:dyDescent="0.3">
      <c r="A3" s="90" t="s">
        <v>41</v>
      </c>
      <c r="B3" s="86"/>
      <c r="C3" s="86"/>
      <c r="D3" s="86"/>
      <c r="E3" s="86"/>
      <c r="F3" s="86"/>
    </row>
    <row r="5" spans="1:6" x14ac:dyDescent="0.3">
      <c r="A5" s="91" t="s">
        <v>42</v>
      </c>
      <c r="B5" s="86"/>
      <c r="C5" s="86"/>
    </row>
    <row r="6" spans="1:6" x14ac:dyDescent="0.3">
      <c r="A6" s="1" t="s">
        <v>43</v>
      </c>
      <c r="B6" s="73">
        <v>4000</v>
      </c>
    </row>
    <row r="7" spans="1:6" x14ac:dyDescent="0.3">
      <c r="A7" s="1" t="s">
        <v>44</v>
      </c>
      <c r="B7" s="73">
        <v>3080</v>
      </c>
    </row>
    <row r="8" spans="1:6" x14ac:dyDescent="0.3">
      <c r="A8" s="1" t="s">
        <v>45</v>
      </c>
      <c r="B8" s="73" t="e">
        <f>Setup!B4-'Bill Master List'!B33</f>
        <v>#VALUE!</v>
      </c>
    </row>
    <row r="9" spans="1:6" x14ac:dyDescent="0.3">
      <c r="A9" s="1"/>
    </row>
    <row r="10" spans="1:6" x14ac:dyDescent="0.3">
      <c r="A10" s="1" t="s">
        <v>46</v>
      </c>
      <c r="B10" s="73">
        <f>SUMIF('Credit Cards'!K3:K17,"Yes",'Credit Cards'!M3:M17)</f>
        <v>4129.03</v>
      </c>
    </row>
    <row r="11" spans="1:6" x14ac:dyDescent="0.3">
      <c r="A11" s="1" t="s">
        <v>47</v>
      </c>
      <c r="B11" s="73">
        <v>333.61</v>
      </c>
    </row>
    <row r="12" spans="1:6" x14ac:dyDescent="0.3">
      <c r="A12" s="1" t="s">
        <v>38</v>
      </c>
      <c r="B12" s="74">
        <v>0.92589999999999995</v>
      </c>
    </row>
    <row r="13" spans="1:6" x14ac:dyDescent="0.3">
      <c r="A13" s="1"/>
    </row>
    <row r="14" spans="1:6" x14ac:dyDescent="0.3">
      <c r="A14" s="1" t="s">
        <v>33</v>
      </c>
      <c r="B14" s="75">
        <v>5</v>
      </c>
    </row>
    <row r="15" spans="1:6" x14ac:dyDescent="0.3">
      <c r="A15" s="1" t="s">
        <v>48</v>
      </c>
      <c r="B15" s="75">
        <v>13</v>
      </c>
    </row>
    <row r="16" spans="1:6" x14ac:dyDescent="0.3">
      <c r="A16" s="1" t="s">
        <v>49</v>
      </c>
      <c r="B16" s="75" t="s">
        <v>50</v>
      </c>
    </row>
    <row r="19" spans="1:6" ht="15.6" customHeight="1" x14ac:dyDescent="0.3">
      <c r="A19" s="90" t="s">
        <v>51</v>
      </c>
      <c r="B19" s="86"/>
      <c r="C19" s="86"/>
      <c r="D19" s="86"/>
      <c r="E19" s="86"/>
      <c r="F19" s="86"/>
    </row>
    <row r="20" spans="1:6" x14ac:dyDescent="0.3">
      <c r="A20" s="89"/>
      <c r="B20" s="86"/>
      <c r="C20" s="86"/>
      <c r="D20" s="86"/>
      <c r="E20" s="86"/>
      <c r="F20" s="86"/>
    </row>
    <row r="21" spans="1:6" x14ac:dyDescent="0.3">
      <c r="A21" s="89" t="s">
        <v>52</v>
      </c>
      <c r="B21" s="86"/>
      <c r="C21" s="86"/>
      <c r="D21" s="86"/>
      <c r="E21" s="86"/>
      <c r="F21" s="86"/>
    </row>
    <row r="22" spans="1:6" x14ac:dyDescent="0.3">
      <c r="A22" s="89" t="s">
        <v>53</v>
      </c>
      <c r="B22" s="86"/>
      <c r="C22" s="86"/>
      <c r="D22" s="86"/>
      <c r="E22" s="86"/>
      <c r="F22" s="86"/>
    </row>
    <row r="23" spans="1:6" x14ac:dyDescent="0.3">
      <c r="A23" s="89"/>
      <c r="B23" s="86"/>
      <c r="C23" s="86"/>
      <c r="D23" s="86"/>
      <c r="E23" s="86"/>
      <c r="F23" s="86"/>
    </row>
    <row r="24" spans="1:6" x14ac:dyDescent="0.3">
      <c r="A24" s="89" t="s">
        <v>54</v>
      </c>
      <c r="B24" s="86"/>
      <c r="C24" s="86"/>
      <c r="D24" s="86"/>
      <c r="E24" s="86"/>
      <c r="F24" s="86"/>
    </row>
    <row r="25" spans="1:6" x14ac:dyDescent="0.3">
      <c r="A25" s="89" t="s">
        <v>55</v>
      </c>
      <c r="B25" s="86"/>
      <c r="C25" s="86"/>
      <c r="D25" s="86"/>
      <c r="E25" s="86"/>
      <c r="F25" s="86"/>
    </row>
    <row r="26" spans="1:6" x14ac:dyDescent="0.3">
      <c r="A26" s="89"/>
      <c r="B26" s="86"/>
      <c r="C26" s="86"/>
      <c r="D26" s="86"/>
      <c r="E26" s="86"/>
      <c r="F26" s="86"/>
    </row>
    <row r="27" spans="1:6" x14ac:dyDescent="0.3">
      <c r="A27" s="89" t="s">
        <v>56</v>
      </c>
      <c r="B27" s="86"/>
      <c r="C27" s="86"/>
      <c r="D27" s="86"/>
      <c r="E27" s="86"/>
      <c r="F27" s="86"/>
    </row>
    <row r="28" spans="1:6" x14ac:dyDescent="0.3">
      <c r="A28" s="89" t="s">
        <v>57</v>
      </c>
      <c r="B28" s="86"/>
      <c r="C28" s="86"/>
      <c r="D28" s="86"/>
      <c r="E28" s="86"/>
      <c r="F28" s="86"/>
    </row>
    <row r="29" spans="1:6" x14ac:dyDescent="0.3">
      <c r="A29" s="89" t="s">
        <v>58</v>
      </c>
      <c r="B29" s="86"/>
      <c r="C29" s="86"/>
      <c r="D29" s="86"/>
      <c r="E29" s="86"/>
      <c r="F29" s="86"/>
    </row>
    <row r="30" spans="1:6" x14ac:dyDescent="0.3">
      <c r="A30" s="89"/>
      <c r="B30" s="86"/>
      <c r="C30" s="86"/>
      <c r="D30" s="86"/>
      <c r="E30" s="86"/>
      <c r="F30" s="86"/>
    </row>
    <row r="31" spans="1:6" x14ac:dyDescent="0.3">
      <c r="A31" s="89" t="s">
        <v>59</v>
      </c>
      <c r="B31" s="86"/>
      <c r="C31" s="86"/>
      <c r="D31" s="86"/>
      <c r="E31" s="86"/>
      <c r="F31" s="86"/>
    </row>
    <row r="32" spans="1:6" x14ac:dyDescent="0.3">
      <c r="A32" s="89" t="s">
        <v>60</v>
      </c>
      <c r="B32" s="86"/>
      <c r="C32" s="86"/>
      <c r="D32" s="86"/>
      <c r="E32" s="86"/>
      <c r="F32" s="86"/>
    </row>
    <row r="33" spans="1:6" x14ac:dyDescent="0.3">
      <c r="A33" s="89" t="s">
        <v>61</v>
      </c>
      <c r="B33" s="86"/>
      <c r="C33" s="86"/>
      <c r="D33" s="86"/>
      <c r="E33" s="86"/>
      <c r="F33" s="86"/>
    </row>
    <row r="34" spans="1:6" x14ac:dyDescent="0.3">
      <c r="A34" s="89" t="s">
        <v>62</v>
      </c>
      <c r="B34" s="86"/>
      <c r="C34" s="86"/>
      <c r="D34" s="86"/>
      <c r="E34" s="86"/>
      <c r="F34" s="86"/>
    </row>
    <row r="35" spans="1:6" x14ac:dyDescent="0.3">
      <c r="A35" s="89"/>
      <c r="B35" s="86"/>
      <c r="C35" s="86"/>
      <c r="D35" s="86"/>
      <c r="E35" s="86"/>
      <c r="F35" s="86"/>
    </row>
    <row r="36" spans="1:6" x14ac:dyDescent="0.3">
      <c r="A36" s="89" t="s">
        <v>63</v>
      </c>
      <c r="B36" s="86"/>
      <c r="C36" s="86"/>
      <c r="D36" s="86"/>
      <c r="E36" s="86"/>
      <c r="F36" s="86"/>
    </row>
    <row r="37" spans="1:6" x14ac:dyDescent="0.3">
      <c r="A37" s="89" t="s">
        <v>64</v>
      </c>
      <c r="B37" s="86"/>
      <c r="C37" s="86"/>
      <c r="D37" s="86"/>
      <c r="E37" s="86"/>
      <c r="F37" s="86"/>
    </row>
    <row r="38" spans="1:6" x14ac:dyDescent="0.3">
      <c r="A38" s="89" t="s">
        <v>65</v>
      </c>
      <c r="B38" s="86"/>
      <c r="C38" s="86"/>
      <c r="D38" s="86"/>
      <c r="E38" s="86"/>
      <c r="F38" s="86"/>
    </row>
    <row r="39" spans="1:6" x14ac:dyDescent="0.3">
      <c r="A39" s="89"/>
      <c r="B39" s="86"/>
      <c r="C39" s="86"/>
      <c r="D39" s="86"/>
      <c r="E39" s="86"/>
      <c r="F39" s="86"/>
    </row>
    <row r="40" spans="1:6" x14ac:dyDescent="0.3">
      <c r="A40" s="89" t="s">
        <v>66</v>
      </c>
      <c r="B40" s="86"/>
      <c r="C40" s="86"/>
      <c r="D40" s="86"/>
      <c r="E40" s="86"/>
      <c r="F40" s="86"/>
    </row>
    <row r="41" spans="1:6" x14ac:dyDescent="0.3">
      <c r="A41" s="89" t="s">
        <v>67</v>
      </c>
      <c r="B41" s="86"/>
      <c r="C41" s="86"/>
      <c r="D41" s="86"/>
      <c r="E41" s="86"/>
      <c r="F41" s="86"/>
    </row>
    <row r="42" spans="1:6" x14ac:dyDescent="0.3">
      <c r="A42" s="89" t="s">
        <v>68</v>
      </c>
      <c r="B42" s="86"/>
      <c r="C42" s="86"/>
      <c r="D42" s="86"/>
      <c r="E42" s="86"/>
      <c r="F42" s="86"/>
    </row>
    <row r="43" spans="1:6" x14ac:dyDescent="0.3">
      <c r="A43" s="89" t="s">
        <v>69</v>
      </c>
      <c r="B43" s="86"/>
      <c r="C43" s="86"/>
      <c r="D43" s="86"/>
      <c r="E43" s="86"/>
      <c r="F43" s="86"/>
    </row>
    <row r="44" spans="1:6" x14ac:dyDescent="0.3">
      <c r="A44" s="89" t="s">
        <v>70</v>
      </c>
      <c r="B44" s="86"/>
      <c r="C44" s="86"/>
      <c r="D44" s="86"/>
      <c r="E44" s="86"/>
      <c r="F44" s="86"/>
    </row>
    <row r="45" spans="1:6" x14ac:dyDescent="0.3">
      <c r="A45" s="89"/>
      <c r="B45" s="86"/>
      <c r="C45" s="86"/>
      <c r="D45" s="86"/>
      <c r="E45" s="86"/>
      <c r="F45" s="86"/>
    </row>
    <row r="46" spans="1:6" x14ac:dyDescent="0.3">
      <c r="A46" s="89" t="s">
        <v>71</v>
      </c>
      <c r="B46" s="86"/>
      <c r="C46" s="86"/>
      <c r="D46" s="86"/>
      <c r="E46" s="86"/>
      <c r="F46" s="86"/>
    </row>
    <row r="47" spans="1:6" x14ac:dyDescent="0.3">
      <c r="A47" s="89" t="s">
        <v>72</v>
      </c>
      <c r="B47" s="86"/>
      <c r="C47" s="86"/>
      <c r="D47" s="86"/>
      <c r="E47" s="86"/>
      <c r="F47" s="86"/>
    </row>
    <row r="48" spans="1:6" x14ac:dyDescent="0.3">
      <c r="A48" s="89" t="s">
        <v>73</v>
      </c>
      <c r="B48" s="86"/>
      <c r="C48" s="86"/>
      <c r="D48" s="86"/>
      <c r="E48" s="86"/>
      <c r="F48" s="86"/>
    </row>
    <row r="49" spans="1:6" x14ac:dyDescent="0.3">
      <c r="A49" s="89" t="s">
        <v>74</v>
      </c>
      <c r="B49" s="86"/>
      <c r="C49" s="86"/>
      <c r="D49" s="86"/>
      <c r="E49" s="86"/>
      <c r="F49" s="86"/>
    </row>
    <row r="50" spans="1:6" x14ac:dyDescent="0.3">
      <c r="A50" s="89" t="s">
        <v>75</v>
      </c>
      <c r="B50" s="86"/>
      <c r="C50" s="86"/>
      <c r="D50" s="86"/>
      <c r="E50" s="86"/>
      <c r="F50" s="86"/>
    </row>
    <row r="51" spans="1:6" x14ac:dyDescent="0.3">
      <c r="A51" s="89" t="s">
        <v>76</v>
      </c>
      <c r="B51" s="86"/>
      <c r="C51" s="86"/>
      <c r="D51" s="86"/>
      <c r="E51" s="86"/>
      <c r="F51" s="86"/>
    </row>
  </sheetData>
  <mergeCells count="36">
    <mergeCell ref="A51:F51"/>
    <mergeCell ref="A49:F49"/>
    <mergeCell ref="A36:F36"/>
    <mergeCell ref="A1:F1"/>
    <mergeCell ref="A45:F45"/>
    <mergeCell ref="A25:F25"/>
    <mergeCell ref="A19:F19"/>
    <mergeCell ref="A44:F44"/>
    <mergeCell ref="A31:F31"/>
    <mergeCell ref="A34:F34"/>
    <mergeCell ref="A40:F40"/>
    <mergeCell ref="A30:F30"/>
    <mergeCell ref="A39:F39"/>
    <mergeCell ref="A24:F24"/>
    <mergeCell ref="A3:F3"/>
    <mergeCell ref="A26:F26"/>
    <mergeCell ref="A21:F21"/>
    <mergeCell ref="A33:F33"/>
    <mergeCell ref="A47:F47"/>
    <mergeCell ref="A42:F42"/>
    <mergeCell ref="A5:C5"/>
    <mergeCell ref="A23:F23"/>
    <mergeCell ref="A32:F32"/>
    <mergeCell ref="A22:F22"/>
    <mergeCell ref="A35:F35"/>
    <mergeCell ref="A20:F20"/>
    <mergeCell ref="A29:F29"/>
    <mergeCell ref="A43:F43"/>
    <mergeCell ref="A38:F38"/>
    <mergeCell ref="A28:F28"/>
    <mergeCell ref="A41:F41"/>
    <mergeCell ref="A46:F46"/>
    <mergeCell ref="A37:F37"/>
    <mergeCell ref="A27:F27"/>
    <mergeCell ref="A50:F50"/>
    <mergeCell ref="A48:F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A3" sqref="A3:D3"/>
    </sheetView>
  </sheetViews>
  <sheetFormatPr defaultRowHeight="14.4" x14ac:dyDescent="0.3"/>
  <cols>
    <col min="1" max="1" width="25" customWidth="1"/>
    <col min="2" max="2" width="20" customWidth="1"/>
    <col min="3" max="3" width="40" customWidth="1"/>
    <col min="4" max="4" width="15" customWidth="1"/>
  </cols>
  <sheetData>
    <row r="1" spans="1:4" ht="18" customHeight="1" x14ac:dyDescent="0.35">
      <c r="A1" s="93" t="s">
        <v>77</v>
      </c>
      <c r="B1" s="86"/>
      <c r="C1" s="86"/>
      <c r="D1" s="86"/>
    </row>
    <row r="3" spans="1:4" x14ac:dyDescent="0.3">
      <c r="A3" s="91" t="s">
        <v>78</v>
      </c>
      <c r="B3" s="86"/>
      <c r="C3" s="86"/>
      <c r="D3" s="86"/>
    </row>
    <row r="4" spans="1:4" x14ac:dyDescent="0.3">
      <c r="A4" s="80" t="s">
        <v>79</v>
      </c>
      <c r="B4" s="80" t="s">
        <v>80</v>
      </c>
      <c r="C4" s="80" t="s">
        <v>81</v>
      </c>
      <c r="D4" s="4"/>
    </row>
    <row r="5" spans="1:4" x14ac:dyDescent="0.3">
      <c r="A5" s="5" t="s">
        <v>82</v>
      </c>
      <c r="B5" s="71">
        <v>4000</v>
      </c>
      <c r="C5" s="5" t="s">
        <v>83</v>
      </c>
      <c r="D5" s="5"/>
    </row>
    <row r="6" spans="1:4" x14ac:dyDescent="0.3">
      <c r="A6" s="5" t="s">
        <v>84</v>
      </c>
      <c r="B6" s="70">
        <v>2026</v>
      </c>
      <c r="C6" s="5" t="s">
        <v>85</v>
      </c>
      <c r="D6" s="5"/>
    </row>
    <row r="7" spans="1:4" x14ac:dyDescent="0.3">
      <c r="A7" s="5" t="s">
        <v>86</v>
      </c>
      <c r="B7" s="70" t="s">
        <v>50</v>
      </c>
      <c r="C7" s="5" t="s">
        <v>87</v>
      </c>
      <c r="D7" s="5"/>
    </row>
    <row r="8" spans="1:4" x14ac:dyDescent="0.3">
      <c r="A8" s="5" t="s">
        <v>88</v>
      </c>
      <c r="B8" s="71">
        <v>0</v>
      </c>
      <c r="C8" s="5" t="s">
        <v>89</v>
      </c>
      <c r="D8" s="5"/>
    </row>
    <row r="9" spans="1:4" x14ac:dyDescent="0.3">
      <c r="A9" s="5" t="s">
        <v>90</v>
      </c>
      <c r="B9" s="70">
        <v>36</v>
      </c>
      <c r="C9" s="5" t="s">
        <v>91</v>
      </c>
      <c r="D9" s="5"/>
    </row>
  </sheetData>
  <mergeCells count="2">
    <mergeCell ref="A1:D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topLeftCell="B1" workbookViewId="0">
      <pane xSplit="1" topLeftCell="C1" activePane="topRight" state="frozen"/>
      <selection activeCell="B1" sqref="B1"/>
      <selection pane="topRight" activeCell="M6" sqref="M6"/>
    </sheetView>
  </sheetViews>
  <sheetFormatPr defaultRowHeight="14.4" x14ac:dyDescent="0.3"/>
  <cols>
    <col min="1" max="1" width="15" customWidth="1"/>
    <col min="2" max="2" width="23.5546875" customWidth="1"/>
    <col min="3" max="3" width="13" customWidth="1"/>
    <col min="4" max="4" width="13" style="3" customWidth="1"/>
    <col min="5" max="11" width="13" customWidth="1"/>
    <col min="13" max="13" width="13" style="3" customWidth="1"/>
    <col min="14" max="14" width="13.109375" customWidth="1"/>
    <col min="15" max="15" width="16.5546875" customWidth="1"/>
  </cols>
  <sheetData>
    <row r="1" spans="1:16" ht="15.6" customHeight="1" x14ac:dyDescent="0.3">
      <c r="A1" s="94" t="s">
        <v>92</v>
      </c>
      <c r="B1" s="95"/>
      <c r="C1" s="95"/>
      <c r="D1" s="95"/>
      <c r="E1" s="95"/>
      <c r="F1" s="95"/>
      <c r="G1" s="95"/>
      <c r="H1" s="95"/>
      <c r="I1" s="95"/>
      <c r="J1" s="95"/>
      <c r="K1" s="96"/>
      <c r="L1" s="83"/>
      <c r="M1" s="84"/>
      <c r="N1" s="83"/>
      <c r="O1" s="83"/>
      <c r="P1" s="83"/>
    </row>
    <row r="2" spans="1:16" ht="27.6" customHeight="1" x14ac:dyDescent="0.3">
      <c r="A2" s="80" t="s">
        <v>3</v>
      </c>
      <c r="B2" s="80" t="s">
        <v>93</v>
      </c>
      <c r="C2" s="80" t="s">
        <v>6</v>
      </c>
      <c r="D2" s="80" t="s">
        <v>94</v>
      </c>
      <c r="E2" s="80" t="s">
        <v>95</v>
      </c>
      <c r="F2" s="80" t="s">
        <v>96</v>
      </c>
      <c r="G2" s="80" t="s">
        <v>97</v>
      </c>
      <c r="H2" s="80" t="s">
        <v>98</v>
      </c>
      <c r="I2" s="80" t="s">
        <v>99</v>
      </c>
      <c r="J2" s="80" t="s">
        <v>100</v>
      </c>
      <c r="K2" s="80" t="s">
        <v>101</v>
      </c>
      <c r="L2" s="82" t="s">
        <v>102</v>
      </c>
      <c r="M2" s="82" t="s">
        <v>103</v>
      </c>
      <c r="N2" s="82" t="s">
        <v>104</v>
      </c>
      <c r="O2" s="82" t="s">
        <v>105</v>
      </c>
      <c r="P2" s="82" t="s">
        <v>106</v>
      </c>
    </row>
    <row r="3" spans="1:16" x14ac:dyDescent="0.3">
      <c r="A3" s="5" t="s">
        <v>107</v>
      </c>
      <c r="B3" s="5" t="s">
        <v>108</v>
      </c>
      <c r="C3" s="6">
        <v>1500</v>
      </c>
      <c r="D3" s="8">
        <v>0.18</v>
      </c>
      <c r="E3" s="5">
        <v>24</v>
      </c>
      <c r="F3" s="5">
        <v>21</v>
      </c>
      <c r="G3" s="5">
        <v>24</v>
      </c>
      <c r="H3" s="6">
        <v>1500.1</v>
      </c>
      <c r="I3" s="8">
        <v>0.02</v>
      </c>
      <c r="J3" s="6">
        <v>40</v>
      </c>
      <c r="K3" s="5" t="s">
        <v>109</v>
      </c>
      <c r="L3" s="20">
        <v>0</v>
      </c>
      <c r="M3" s="20">
        <f t="shared" ref="M3:M17" si="0">H3+L3</f>
        <v>1500.1</v>
      </c>
      <c r="N3" s="20">
        <v>18</v>
      </c>
      <c r="O3" s="20">
        <v>0.05</v>
      </c>
      <c r="P3" s="20">
        <v>10</v>
      </c>
    </row>
    <row r="4" spans="1:16" x14ac:dyDescent="0.3">
      <c r="A4" s="5" t="s">
        <v>110</v>
      </c>
      <c r="B4" s="5" t="s">
        <v>111</v>
      </c>
      <c r="C4" s="6">
        <v>500</v>
      </c>
      <c r="D4" s="8">
        <v>0.35899999999999999</v>
      </c>
      <c r="E4" s="5">
        <v>9</v>
      </c>
      <c r="F4" s="5">
        <v>8</v>
      </c>
      <c r="G4" s="5">
        <v>9</v>
      </c>
      <c r="H4" s="6">
        <v>632.80999999999995</v>
      </c>
      <c r="I4" s="8">
        <v>0.02</v>
      </c>
      <c r="J4" s="6">
        <v>40</v>
      </c>
      <c r="K4" s="5" t="s">
        <v>109</v>
      </c>
      <c r="L4" s="20">
        <v>0</v>
      </c>
      <c r="M4" s="20">
        <f t="shared" si="0"/>
        <v>632.80999999999995</v>
      </c>
      <c r="N4" s="20">
        <v>35.9</v>
      </c>
      <c r="O4" s="20">
        <v>0.05</v>
      </c>
      <c r="P4" s="20">
        <v>10</v>
      </c>
    </row>
    <row r="5" spans="1:16" x14ac:dyDescent="0.3">
      <c r="A5" s="5" t="s">
        <v>112</v>
      </c>
      <c r="B5" s="5" t="s">
        <v>113</v>
      </c>
      <c r="C5" s="6">
        <v>1000</v>
      </c>
      <c r="D5" s="8">
        <v>0.35899999999999999</v>
      </c>
      <c r="E5" s="5">
        <v>26</v>
      </c>
      <c r="F5" s="5">
        <v>25</v>
      </c>
      <c r="G5" s="5">
        <v>26</v>
      </c>
      <c r="H5" s="6">
        <v>599.4</v>
      </c>
      <c r="I5" s="8">
        <v>0.02</v>
      </c>
      <c r="J5" s="6">
        <v>40</v>
      </c>
      <c r="K5" s="5" t="s">
        <v>109</v>
      </c>
      <c r="L5" s="20">
        <v>100</v>
      </c>
      <c r="M5" s="20">
        <v>547.97</v>
      </c>
      <c r="N5" s="20">
        <v>35.9</v>
      </c>
      <c r="O5" s="20">
        <v>0.05</v>
      </c>
      <c r="P5" s="20">
        <v>10</v>
      </c>
    </row>
    <row r="6" spans="1:16" x14ac:dyDescent="0.3">
      <c r="A6" s="5" t="s">
        <v>114</v>
      </c>
      <c r="B6" s="5" t="s">
        <v>115</v>
      </c>
      <c r="C6" s="6">
        <v>500</v>
      </c>
      <c r="D6" s="8">
        <v>0.35899999999999999</v>
      </c>
      <c r="E6" s="5">
        <v>9</v>
      </c>
      <c r="F6" s="5">
        <v>8</v>
      </c>
      <c r="G6" s="5">
        <v>9</v>
      </c>
      <c r="H6" s="6">
        <v>489.81</v>
      </c>
      <c r="I6" s="8">
        <v>0.02</v>
      </c>
      <c r="J6" s="6">
        <v>40</v>
      </c>
      <c r="K6" s="5" t="s">
        <v>109</v>
      </c>
      <c r="L6" s="20">
        <v>0</v>
      </c>
      <c r="M6" s="20">
        <f t="shared" si="0"/>
        <v>489.81</v>
      </c>
      <c r="N6" s="20">
        <v>35.9</v>
      </c>
      <c r="O6" s="20">
        <v>0.05</v>
      </c>
      <c r="P6" s="20">
        <v>10</v>
      </c>
    </row>
    <row r="7" spans="1:16" x14ac:dyDescent="0.3">
      <c r="A7" s="5" t="s">
        <v>116</v>
      </c>
      <c r="B7" s="5" t="s">
        <v>117</v>
      </c>
      <c r="C7" s="6">
        <v>1000</v>
      </c>
      <c r="D7" s="8">
        <v>0.35899999999999999</v>
      </c>
      <c r="E7" s="5">
        <v>26</v>
      </c>
      <c r="F7" s="5">
        <v>25</v>
      </c>
      <c r="G7" s="5">
        <v>26</v>
      </c>
      <c r="H7" s="6">
        <v>944.27</v>
      </c>
      <c r="I7" s="8">
        <v>0.02</v>
      </c>
      <c r="J7" s="6">
        <v>40</v>
      </c>
      <c r="K7" s="5" t="s">
        <v>109</v>
      </c>
      <c r="L7" s="20">
        <v>100</v>
      </c>
      <c r="M7" s="20">
        <v>958.34</v>
      </c>
      <c r="N7" s="20">
        <v>35.9</v>
      </c>
      <c r="O7" s="20">
        <v>0.05</v>
      </c>
      <c r="P7" s="20">
        <v>10</v>
      </c>
    </row>
    <row r="8" spans="1:16" x14ac:dyDescent="0.3">
      <c r="A8" t="s">
        <v>118</v>
      </c>
      <c r="B8" s="5"/>
      <c r="C8" s="6"/>
      <c r="D8" s="8"/>
      <c r="E8" s="5"/>
      <c r="F8" s="5"/>
      <c r="G8" s="5"/>
      <c r="H8" s="6"/>
      <c r="I8" s="8"/>
      <c r="J8" s="6"/>
      <c r="K8" s="5" t="s">
        <v>119</v>
      </c>
      <c r="L8" s="20"/>
      <c r="M8" s="20">
        <f t="shared" si="0"/>
        <v>0</v>
      </c>
      <c r="N8" s="20"/>
      <c r="O8" s="20"/>
      <c r="P8" s="20"/>
    </row>
    <row r="9" spans="1:16" x14ac:dyDescent="0.3">
      <c r="A9" t="s">
        <v>120</v>
      </c>
      <c r="B9" s="5"/>
      <c r="C9" s="6"/>
      <c r="D9" s="8"/>
      <c r="E9" s="5"/>
      <c r="F9" s="5"/>
      <c r="G9" s="5"/>
      <c r="H9" s="6"/>
      <c r="I9" s="8"/>
      <c r="J9" s="6"/>
      <c r="K9" s="5" t="s">
        <v>119</v>
      </c>
      <c r="L9" s="20"/>
      <c r="M9" s="20">
        <f t="shared" si="0"/>
        <v>0</v>
      </c>
      <c r="N9" s="20"/>
      <c r="O9" s="20"/>
      <c r="P9" s="20"/>
    </row>
    <row r="10" spans="1:16" x14ac:dyDescent="0.3">
      <c r="A10" t="s">
        <v>121</v>
      </c>
      <c r="B10" s="5"/>
      <c r="C10" s="6"/>
      <c r="D10" s="8"/>
      <c r="E10" s="5"/>
      <c r="F10" s="5"/>
      <c r="G10" s="5"/>
      <c r="H10" s="6"/>
      <c r="I10" s="8"/>
      <c r="J10" s="6"/>
      <c r="K10" s="5" t="s">
        <v>119</v>
      </c>
      <c r="L10" s="20"/>
      <c r="M10" s="20">
        <f t="shared" si="0"/>
        <v>0</v>
      </c>
      <c r="N10" s="20"/>
      <c r="O10" s="20"/>
      <c r="P10" s="20"/>
    </row>
    <row r="11" spans="1:16" x14ac:dyDescent="0.3">
      <c r="A11" t="s">
        <v>122</v>
      </c>
      <c r="B11" s="5"/>
      <c r="C11" s="6"/>
      <c r="D11" s="8"/>
      <c r="E11" s="5"/>
      <c r="F11" s="5"/>
      <c r="G11" s="5"/>
      <c r="H11" s="6"/>
      <c r="I11" s="8"/>
      <c r="J11" s="6"/>
      <c r="K11" s="5" t="s">
        <v>119</v>
      </c>
      <c r="L11" s="20"/>
      <c r="M11" s="20">
        <f t="shared" si="0"/>
        <v>0</v>
      </c>
      <c r="N11" s="20"/>
      <c r="O11" s="20"/>
      <c r="P11" s="20"/>
    </row>
    <row r="12" spans="1:16" x14ac:dyDescent="0.3">
      <c r="A12" t="s">
        <v>123</v>
      </c>
      <c r="B12" s="5"/>
      <c r="C12" s="6"/>
      <c r="D12" s="8"/>
      <c r="E12" s="5"/>
      <c r="F12" s="5"/>
      <c r="G12" s="5"/>
      <c r="H12" s="6"/>
      <c r="I12" s="8"/>
      <c r="J12" s="6"/>
      <c r="K12" s="5" t="s">
        <v>119</v>
      </c>
      <c r="L12" s="20"/>
      <c r="M12" s="20">
        <f t="shared" si="0"/>
        <v>0</v>
      </c>
      <c r="N12" s="20"/>
      <c r="O12" s="20"/>
      <c r="P12" s="20"/>
    </row>
    <row r="13" spans="1:16" x14ac:dyDescent="0.3">
      <c r="A13" t="s">
        <v>124</v>
      </c>
      <c r="B13" s="5"/>
      <c r="C13" s="6"/>
      <c r="D13" s="8"/>
      <c r="E13" s="5"/>
      <c r="F13" s="5"/>
      <c r="G13" s="5"/>
      <c r="H13" s="6"/>
      <c r="I13" s="8"/>
      <c r="J13" s="6"/>
      <c r="K13" s="5" t="s">
        <v>119</v>
      </c>
      <c r="L13" s="20"/>
      <c r="M13" s="20">
        <f t="shared" si="0"/>
        <v>0</v>
      </c>
      <c r="N13" s="20"/>
      <c r="O13" s="20"/>
      <c r="P13" s="20"/>
    </row>
    <row r="14" spans="1:16" x14ac:dyDescent="0.3">
      <c r="A14" t="s">
        <v>125</v>
      </c>
      <c r="B14" s="5"/>
      <c r="C14" s="6"/>
      <c r="D14" s="8"/>
      <c r="E14" s="5"/>
      <c r="F14" s="5"/>
      <c r="G14" s="5"/>
      <c r="H14" s="6"/>
      <c r="I14" s="8"/>
      <c r="J14" s="6"/>
      <c r="K14" s="5" t="s">
        <v>119</v>
      </c>
      <c r="L14" s="20"/>
      <c r="M14" s="20">
        <f t="shared" si="0"/>
        <v>0</v>
      </c>
      <c r="N14" s="20"/>
      <c r="O14" s="20"/>
      <c r="P14" s="20"/>
    </row>
    <row r="15" spans="1:16" x14ac:dyDescent="0.3">
      <c r="A15" t="s">
        <v>126</v>
      </c>
      <c r="B15" s="5"/>
      <c r="C15" s="6"/>
      <c r="D15" s="8"/>
      <c r="E15" s="5"/>
      <c r="F15" s="5"/>
      <c r="G15" s="5"/>
      <c r="H15" s="6"/>
      <c r="I15" s="8"/>
      <c r="J15" s="6"/>
      <c r="K15" s="5" t="s">
        <v>119</v>
      </c>
      <c r="L15" s="20"/>
      <c r="M15" s="20">
        <f t="shared" si="0"/>
        <v>0</v>
      </c>
      <c r="N15" s="20"/>
      <c r="O15" s="20"/>
      <c r="P15" s="20"/>
    </row>
    <row r="16" spans="1:16" x14ac:dyDescent="0.3">
      <c r="A16" t="s">
        <v>127</v>
      </c>
      <c r="B16" s="5"/>
      <c r="C16" s="6"/>
      <c r="D16" s="8"/>
      <c r="E16" s="5"/>
      <c r="F16" s="5"/>
      <c r="G16" s="5"/>
      <c r="H16" s="6"/>
      <c r="I16" s="8"/>
      <c r="J16" s="6"/>
      <c r="K16" s="5" t="s">
        <v>119</v>
      </c>
      <c r="L16" s="20"/>
      <c r="M16" s="20">
        <f t="shared" si="0"/>
        <v>0</v>
      </c>
      <c r="N16" s="20"/>
      <c r="O16" s="20"/>
      <c r="P16" s="20"/>
    </row>
    <row r="17" spans="1:16" x14ac:dyDescent="0.3">
      <c r="A17" t="s">
        <v>128</v>
      </c>
      <c r="B17" s="5"/>
      <c r="C17" s="6"/>
      <c r="D17" s="8"/>
      <c r="E17" s="5"/>
      <c r="F17" s="5"/>
      <c r="G17" s="5"/>
      <c r="H17" s="6"/>
      <c r="I17" s="8"/>
      <c r="J17" s="6"/>
      <c r="K17" s="5" t="s">
        <v>119</v>
      </c>
      <c r="L17" s="20"/>
      <c r="M17" s="20">
        <f t="shared" si="0"/>
        <v>0</v>
      </c>
      <c r="N17" s="20"/>
      <c r="O17" s="20"/>
      <c r="P17" s="20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"/>
  <sheetViews>
    <sheetView workbookViewId="0">
      <selection activeCell="G7" sqref="G7"/>
    </sheetView>
  </sheetViews>
  <sheetFormatPr defaultRowHeight="14.4" x14ac:dyDescent="0.3"/>
  <cols>
    <col min="1" max="1" width="20" style="67" customWidth="1"/>
    <col min="2" max="2" width="12" style="67" customWidth="1"/>
    <col min="3" max="3" width="10" style="67" customWidth="1"/>
    <col min="4" max="4" width="12" style="67" customWidth="1"/>
    <col min="5" max="5" width="15" style="67" customWidth="1"/>
    <col min="6" max="7" width="10" style="67" customWidth="1"/>
    <col min="8" max="8" width="12" style="67" customWidth="1"/>
    <col min="9" max="9" width="35" customWidth="1"/>
  </cols>
  <sheetData>
    <row r="1" spans="1:9" ht="15.6" customHeight="1" x14ac:dyDescent="0.3">
      <c r="A1" s="110" t="s">
        <v>129</v>
      </c>
      <c r="B1" s="111"/>
      <c r="C1" s="111"/>
      <c r="D1" s="111"/>
      <c r="E1" s="111"/>
      <c r="F1" s="111"/>
      <c r="G1" s="112"/>
      <c r="H1" s="112"/>
      <c r="I1" s="113"/>
    </row>
    <row r="2" spans="1:9" ht="27.6" customHeight="1" x14ac:dyDescent="0.3">
      <c r="A2" s="80" t="s">
        <v>130</v>
      </c>
      <c r="B2" s="80" t="s">
        <v>131</v>
      </c>
      <c r="C2" s="80" t="s">
        <v>96</v>
      </c>
      <c r="D2" s="80" t="s">
        <v>132</v>
      </c>
      <c r="E2" s="80" t="s">
        <v>133</v>
      </c>
      <c r="F2" s="80" t="s">
        <v>101</v>
      </c>
      <c r="G2" s="82" t="s">
        <v>134</v>
      </c>
      <c r="H2" s="82" t="s">
        <v>135</v>
      </c>
      <c r="I2" s="82" t="s">
        <v>136</v>
      </c>
    </row>
    <row r="3" spans="1:9" x14ac:dyDescent="0.3">
      <c r="A3" s="70" t="s">
        <v>137</v>
      </c>
      <c r="B3" s="71">
        <v>478</v>
      </c>
      <c r="C3" s="70">
        <v>1</v>
      </c>
      <c r="D3" s="70" t="s">
        <v>107</v>
      </c>
      <c r="E3" s="70" t="s">
        <v>138</v>
      </c>
      <c r="F3" s="70" t="s">
        <v>109</v>
      </c>
      <c r="G3" s="72">
        <v>40</v>
      </c>
      <c r="H3" s="64">
        <v>5</v>
      </c>
      <c r="I3" s="19" t="s">
        <v>139</v>
      </c>
    </row>
    <row r="4" spans="1:9" x14ac:dyDescent="0.3">
      <c r="A4" s="70" t="s">
        <v>140</v>
      </c>
      <c r="B4" s="71">
        <v>109</v>
      </c>
      <c r="C4" s="70">
        <v>1</v>
      </c>
      <c r="D4" s="70" t="s">
        <v>107</v>
      </c>
      <c r="E4" s="70" t="s">
        <v>138</v>
      </c>
      <c r="F4" s="70" t="s">
        <v>109</v>
      </c>
      <c r="G4" s="72">
        <v>25</v>
      </c>
      <c r="H4" s="64">
        <v>5</v>
      </c>
      <c r="I4" s="19" t="s">
        <v>139</v>
      </c>
    </row>
    <row r="5" spans="1:9" x14ac:dyDescent="0.3">
      <c r="A5" s="70" t="s">
        <v>141</v>
      </c>
      <c r="B5" s="71">
        <v>180</v>
      </c>
      <c r="C5" s="70">
        <v>1</v>
      </c>
      <c r="D5" s="70" t="s">
        <v>110</v>
      </c>
      <c r="E5" s="70" t="s">
        <v>138</v>
      </c>
      <c r="F5" s="70" t="s">
        <v>109</v>
      </c>
      <c r="G5" s="72">
        <v>25</v>
      </c>
      <c r="H5" s="64">
        <v>5</v>
      </c>
      <c r="I5" s="19" t="s">
        <v>139</v>
      </c>
    </row>
    <row r="6" spans="1:9" x14ac:dyDescent="0.3">
      <c r="A6" s="70" t="s">
        <v>142</v>
      </c>
      <c r="B6" s="71">
        <v>98</v>
      </c>
      <c r="C6" s="70">
        <v>1</v>
      </c>
      <c r="D6" s="70" t="s">
        <v>110</v>
      </c>
      <c r="E6" s="70" t="s">
        <v>138</v>
      </c>
      <c r="F6" s="70" t="s">
        <v>109</v>
      </c>
      <c r="G6" s="72">
        <v>20</v>
      </c>
      <c r="H6" s="64">
        <v>5</v>
      </c>
      <c r="I6" s="19" t="s">
        <v>139</v>
      </c>
    </row>
    <row r="7" spans="1:9" x14ac:dyDescent="0.3">
      <c r="A7" s="70" t="s">
        <v>143</v>
      </c>
      <c r="B7" s="71">
        <v>75</v>
      </c>
      <c r="C7" s="70">
        <v>20</v>
      </c>
      <c r="D7" s="70" t="s">
        <v>110</v>
      </c>
      <c r="E7" s="70" t="s">
        <v>144</v>
      </c>
      <c r="F7" s="70" t="s">
        <v>109</v>
      </c>
      <c r="G7" s="72">
        <v>0</v>
      </c>
      <c r="H7" s="64">
        <v>0</v>
      </c>
      <c r="I7" s="19" t="s">
        <v>145</v>
      </c>
    </row>
    <row r="8" spans="1:9" x14ac:dyDescent="0.3">
      <c r="A8" s="70" t="s">
        <v>146</v>
      </c>
      <c r="B8" s="71">
        <v>80</v>
      </c>
      <c r="C8" s="70">
        <v>5</v>
      </c>
      <c r="D8" s="70" t="s">
        <v>112</v>
      </c>
      <c r="E8" s="70" t="s">
        <v>147</v>
      </c>
      <c r="F8" s="70" t="s">
        <v>109</v>
      </c>
      <c r="G8" s="72">
        <v>25</v>
      </c>
      <c r="H8" s="64">
        <v>0</v>
      </c>
      <c r="I8" s="19" t="s">
        <v>148</v>
      </c>
    </row>
    <row r="9" spans="1:9" ht="28.8" customHeight="1" x14ac:dyDescent="0.3">
      <c r="A9" s="70" t="s">
        <v>149</v>
      </c>
      <c r="B9" s="71">
        <v>785</v>
      </c>
      <c r="C9" s="70">
        <v>24</v>
      </c>
      <c r="D9" s="70" t="s">
        <v>112</v>
      </c>
      <c r="E9" s="70" t="s">
        <v>150</v>
      </c>
      <c r="F9" s="70" t="s">
        <v>109</v>
      </c>
      <c r="G9" s="72">
        <v>39</v>
      </c>
      <c r="H9" s="64">
        <v>10</v>
      </c>
      <c r="I9" s="19" t="s">
        <v>151</v>
      </c>
    </row>
    <row r="10" spans="1:9" x14ac:dyDescent="0.3">
      <c r="A10" s="70" t="s">
        <v>152</v>
      </c>
      <c r="B10" s="71">
        <v>0</v>
      </c>
      <c r="C10" s="70">
        <v>10</v>
      </c>
      <c r="D10" s="70" t="s">
        <v>107</v>
      </c>
      <c r="E10" s="70" t="s">
        <v>150</v>
      </c>
      <c r="F10" s="70" t="s">
        <v>109</v>
      </c>
      <c r="G10" s="72">
        <v>25</v>
      </c>
      <c r="H10" s="64">
        <v>10</v>
      </c>
      <c r="I10" s="19" t="s">
        <v>153</v>
      </c>
    </row>
    <row r="11" spans="1:9" x14ac:dyDescent="0.3">
      <c r="A11" s="70" t="s">
        <v>154</v>
      </c>
      <c r="B11" s="71">
        <v>200</v>
      </c>
      <c r="C11" s="70">
        <v>15</v>
      </c>
      <c r="D11" s="70" t="s">
        <v>114</v>
      </c>
      <c r="E11" s="70" t="s">
        <v>150</v>
      </c>
      <c r="F11" s="70" t="s">
        <v>109</v>
      </c>
      <c r="G11" s="72">
        <v>0</v>
      </c>
      <c r="H11" s="64">
        <v>0</v>
      </c>
      <c r="I11" s="19" t="s">
        <v>155</v>
      </c>
    </row>
    <row r="12" spans="1:9" x14ac:dyDescent="0.3">
      <c r="A12" s="70" t="s">
        <v>156</v>
      </c>
      <c r="B12" s="71">
        <v>400</v>
      </c>
      <c r="C12" s="70">
        <v>1</v>
      </c>
      <c r="D12" s="70" t="s">
        <v>112</v>
      </c>
      <c r="E12" s="70" t="s">
        <v>157</v>
      </c>
      <c r="F12" s="70" t="s">
        <v>109</v>
      </c>
      <c r="G12" s="72">
        <v>0</v>
      </c>
      <c r="H12" s="64">
        <v>0</v>
      </c>
      <c r="I12" s="19" t="s">
        <v>155</v>
      </c>
    </row>
    <row r="13" spans="1:9" x14ac:dyDescent="0.3">
      <c r="A13" s="70" t="s">
        <v>158</v>
      </c>
      <c r="B13" s="71">
        <v>45</v>
      </c>
      <c r="C13" s="70">
        <v>15</v>
      </c>
      <c r="D13" s="70" t="s">
        <v>110</v>
      </c>
      <c r="E13" s="70" t="s">
        <v>159</v>
      </c>
      <c r="F13" s="70" t="s">
        <v>109</v>
      </c>
      <c r="G13" s="72">
        <v>25</v>
      </c>
      <c r="H13" s="64">
        <v>0</v>
      </c>
      <c r="I13" s="19" t="s">
        <v>160</v>
      </c>
    </row>
    <row r="14" spans="1:9" x14ac:dyDescent="0.3">
      <c r="A14" s="70" t="s">
        <v>161</v>
      </c>
      <c r="B14" s="71">
        <v>30</v>
      </c>
      <c r="C14" s="70">
        <v>20</v>
      </c>
      <c r="D14" s="70" t="s">
        <v>116</v>
      </c>
      <c r="E14" s="70" t="s">
        <v>162</v>
      </c>
      <c r="F14" s="70" t="s">
        <v>109</v>
      </c>
      <c r="G14" s="72">
        <v>0</v>
      </c>
      <c r="H14" s="64">
        <v>0</v>
      </c>
      <c r="I14" s="19" t="s">
        <v>163</v>
      </c>
    </row>
    <row r="15" spans="1:9" ht="28.8" customHeight="1" x14ac:dyDescent="0.3">
      <c r="A15" s="70" t="s">
        <v>164</v>
      </c>
      <c r="B15" s="71">
        <v>600</v>
      </c>
      <c r="C15" s="70">
        <v>15</v>
      </c>
      <c r="D15" s="70" t="s">
        <v>116</v>
      </c>
      <c r="E15" s="70" t="s">
        <v>150</v>
      </c>
      <c r="F15" s="70" t="s">
        <v>109</v>
      </c>
      <c r="G15" s="72">
        <v>25</v>
      </c>
      <c r="H15" s="64">
        <v>30</v>
      </c>
      <c r="I15" s="19" t="s">
        <v>165</v>
      </c>
    </row>
    <row r="16" spans="1:9" x14ac:dyDescent="0.3">
      <c r="A16" s="70"/>
      <c r="B16" s="71"/>
      <c r="C16" s="70"/>
      <c r="D16" s="70"/>
      <c r="E16" s="70"/>
      <c r="F16" s="70" t="s">
        <v>119</v>
      </c>
      <c r="G16" s="64"/>
      <c r="H16" s="64"/>
      <c r="I16" s="20"/>
    </row>
    <row r="17" spans="1:9" x14ac:dyDescent="0.3">
      <c r="A17" s="70"/>
      <c r="B17" s="71"/>
      <c r="C17" s="70"/>
      <c r="D17" s="70"/>
      <c r="E17" s="70"/>
      <c r="F17" s="70" t="s">
        <v>119</v>
      </c>
      <c r="G17" s="64"/>
      <c r="H17" s="64"/>
      <c r="I17" s="20"/>
    </row>
    <row r="18" spans="1:9" x14ac:dyDescent="0.3">
      <c r="A18" s="70"/>
      <c r="B18" s="71"/>
      <c r="C18" s="70"/>
      <c r="D18" s="70"/>
      <c r="E18" s="70"/>
      <c r="F18" s="70" t="s">
        <v>119</v>
      </c>
      <c r="G18" s="64"/>
      <c r="H18" s="64"/>
      <c r="I18" s="20"/>
    </row>
    <row r="19" spans="1:9" x14ac:dyDescent="0.3">
      <c r="A19" s="70"/>
      <c r="B19" s="71"/>
      <c r="C19" s="70"/>
      <c r="D19" s="70"/>
      <c r="E19" s="70"/>
      <c r="F19" s="70" t="s">
        <v>119</v>
      </c>
      <c r="G19" s="64"/>
      <c r="H19" s="64"/>
      <c r="I19" s="20"/>
    </row>
    <row r="20" spans="1:9" x14ac:dyDescent="0.3">
      <c r="A20" s="70"/>
      <c r="B20" s="71"/>
      <c r="C20" s="70"/>
      <c r="D20" s="70"/>
      <c r="E20" s="70"/>
      <c r="F20" s="70" t="s">
        <v>119</v>
      </c>
      <c r="G20" s="64"/>
      <c r="H20" s="64"/>
      <c r="I20" s="20"/>
    </row>
    <row r="21" spans="1:9" x14ac:dyDescent="0.3">
      <c r="A21" s="70"/>
      <c r="B21" s="71"/>
      <c r="C21" s="70"/>
      <c r="D21" s="70"/>
      <c r="E21" s="70"/>
      <c r="F21" s="70" t="s">
        <v>119</v>
      </c>
      <c r="G21" s="64"/>
      <c r="H21" s="64"/>
      <c r="I21" s="20"/>
    </row>
    <row r="22" spans="1:9" x14ac:dyDescent="0.3">
      <c r="A22" s="70"/>
      <c r="B22" s="71"/>
      <c r="C22" s="70"/>
      <c r="D22" s="70"/>
      <c r="E22" s="70"/>
      <c r="F22" s="70" t="s">
        <v>119</v>
      </c>
      <c r="G22" s="64"/>
      <c r="H22" s="64"/>
      <c r="I22" s="20"/>
    </row>
    <row r="23" spans="1:9" x14ac:dyDescent="0.3">
      <c r="A23" s="70"/>
      <c r="B23" s="71"/>
      <c r="C23" s="70"/>
      <c r="D23" s="70"/>
      <c r="E23" s="70"/>
      <c r="F23" s="70" t="s">
        <v>119</v>
      </c>
      <c r="G23" s="64"/>
      <c r="H23" s="64"/>
      <c r="I23" s="20"/>
    </row>
    <row r="24" spans="1:9" x14ac:dyDescent="0.3">
      <c r="A24" s="70"/>
      <c r="B24" s="71"/>
      <c r="C24" s="70"/>
      <c r="D24" s="70"/>
      <c r="E24" s="70"/>
      <c r="F24" s="70" t="s">
        <v>119</v>
      </c>
      <c r="G24" s="64"/>
      <c r="H24" s="64"/>
      <c r="I24" s="20"/>
    </row>
    <row r="25" spans="1:9" x14ac:dyDescent="0.3">
      <c r="A25" s="70"/>
      <c r="B25" s="71"/>
      <c r="C25" s="70"/>
      <c r="D25" s="70"/>
      <c r="E25" s="70"/>
      <c r="F25" s="70" t="s">
        <v>119</v>
      </c>
      <c r="G25" s="64"/>
      <c r="H25" s="64"/>
      <c r="I25" s="20"/>
    </row>
    <row r="26" spans="1:9" x14ac:dyDescent="0.3">
      <c r="A26" s="70"/>
      <c r="B26" s="71"/>
      <c r="C26" s="70"/>
      <c r="D26" s="70"/>
      <c r="E26" s="70"/>
      <c r="F26" s="70" t="s">
        <v>119</v>
      </c>
      <c r="G26" s="64"/>
      <c r="H26" s="64"/>
      <c r="I26" s="20"/>
    </row>
    <row r="27" spans="1:9" x14ac:dyDescent="0.3">
      <c r="A27" s="70"/>
      <c r="B27" s="71"/>
      <c r="C27" s="70"/>
      <c r="D27" s="70"/>
      <c r="E27" s="70"/>
      <c r="F27" s="70" t="s">
        <v>119</v>
      </c>
      <c r="G27" s="64"/>
      <c r="H27" s="64"/>
      <c r="I27" s="20"/>
    </row>
    <row r="28" spans="1:9" x14ac:dyDescent="0.3">
      <c r="A28" s="70"/>
      <c r="B28" s="71"/>
      <c r="C28" s="70"/>
      <c r="D28" s="70"/>
      <c r="E28" s="70"/>
      <c r="F28" s="70" t="s">
        <v>119</v>
      </c>
      <c r="G28" s="64"/>
      <c r="H28" s="64"/>
      <c r="I28" s="20"/>
    </row>
    <row r="29" spans="1:9" x14ac:dyDescent="0.3">
      <c r="A29" s="70"/>
      <c r="B29" s="71"/>
      <c r="C29" s="70"/>
      <c r="D29" s="70"/>
      <c r="E29" s="70"/>
      <c r="F29" s="70" t="s">
        <v>119</v>
      </c>
      <c r="G29" s="64"/>
      <c r="H29" s="64"/>
      <c r="I29" s="20"/>
    </row>
    <row r="30" spans="1:9" x14ac:dyDescent="0.3">
      <c r="A30" s="70"/>
      <c r="B30" s="71"/>
      <c r="C30" s="70"/>
      <c r="D30" s="70"/>
      <c r="E30" s="70"/>
      <c r="F30" s="70" t="s">
        <v>119</v>
      </c>
      <c r="G30" s="64"/>
      <c r="H30" s="64"/>
      <c r="I30" s="20"/>
    </row>
    <row r="31" spans="1:9" x14ac:dyDescent="0.3">
      <c r="A31" s="70"/>
      <c r="B31" s="71"/>
      <c r="C31" s="70"/>
      <c r="D31" s="70"/>
      <c r="E31" s="70"/>
      <c r="F31" s="70" t="s">
        <v>119</v>
      </c>
      <c r="G31" s="64"/>
      <c r="H31" s="64"/>
      <c r="I31" s="20"/>
    </row>
    <row r="32" spans="1:9" x14ac:dyDescent="0.3">
      <c r="A32" s="70"/>
      <c r="B32" s="71"/>
      <c r="C32" s="70"/>
      <c r="D32" s="70"/>
      <c r="E32" s="70"/>
      <c r="F32" s="70" t="s">
        <v>119</v>
      </c>
      <c r="G32" s="64"/>
      <c r="H32" s="64"/>
      <c r="I32" s="20"/>
    </row>
    <row r="33" spans="1:9" x14ac:dyDescent="0.3">
      <c r="A33" s="76" t="s">
        <v>166</v>
      </c>
      <c r="B33" s="77">
        <f>SUMIF(F2:F31,"Yes",B2:B31)</f>
        <v>3080</v>
      </c>
      <c r="C33" s="78"/>
      <c r="D33" s="78"/>
      <c r="E33" s="78"/>
      <c r="F33" s="78"/>
      <c r="G33" s="78"/>
      <c r="H33" s="78"/>
      <c r="I33" s="78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2"/>
  <sheetViews>
    <sheetView workbookViewId="0">
      <selection activeCell="D6" sqref="D6"/>
    </sheetView>
  </sheetViews>
  <sheetFormatPr defaultRowHeight="14.4" x14ac:dyDescent="0.3"/>
  <cols>
    <col min="1" max="1" width="18" customWidth="1"/>
    <col min="2" max="2" width="12" customWidth="1"/>
    <col min="3" max="3" width="10" customWidth="1"/>
    <col min="4" max="4" width="14" customWidth="1"/>
    <col min="5" max="5" width="12" style="67" customWidth="1"/>
    <col min="6" max="6" width="10" customWidth="1"/>
    <col min="7" max="7" width="17.109375" style="67" customWidth="1"/>
    <col min="8" max="8" width="35" customWidth="1"/>
  </cols>
  <sheetData>
    <row r="1" spans="1:8" ht="18" customHeight="1" x14ac:dyDescent="0.35">
      <c r="A1" s="114" t="s">
        <v>167</v>
      </c>
      <c r="B1" s="115"/>
      <c r="C1" s="115"/>
      <c r="D1" s="115"/>
      <c r="E1" s="116"/>
      <c r="F1" s="115"/>
      <c r="G1" s="116"/>
      <c r="H1" s="115"/>
    </row>
    <row r="2" spans="1:8" x14ac:dyDescent="0.3">
      <c r="A2" s="117" t="s">
        <v>168</v>
      </c>
      <c r="B2" s="115"/>
      <c r="C2" s="115"/>
      <c r="D2" s="115"/>
      <c r="E2" s="116"/>
      <c r="F2" s="115"/>
      <c r="G2" s="116"/>
      <c r="H2" s="115"/>
    </row>
    <row r="4" spans="1:8" ht="15.6" customHeight="1" x14ac:dyDescent="0.3">
      <c r="A4" s="98" t="s">
        <v>169</v>
      </c>
      <c r="B4" s="86"/>
      <c r="C4" s="86"/>
      <c r="D4" s="86"/>
      <c r="E4" s="97"/>
      <c r="F4" s="86"/>
      <c r="G4" s="97"/>
      <c r="H4" s="86"/>
    </row>
    <row r="5" spans="1:8" x14ac:dyDescent="0.3">
      <c r="A5" s="21" t="s">
        <v>130</v>
      </c>
      <c r="B5" s="21" t="s">
        <v>131</v>
      </c>
      <c r="C5" s="21" t="s">
        <v>96</v>
      </c>
      <c r="D5" s="21" t="s">
        <v>170</v>
      </c>
      <c r="E5" s="63" t="s">
        <v>133</v>
      </c>
      <c r="F5" s="21" t="s">
        <v>134</v>
      </c>
      <c r="G5" s="63" t="s">
        <v>171</v>
      </c>
      <c r="H5" s="21" t="s">
        <v>136</v>
      </c>
    </row>
    <row r="6" spans="1:8" x14ac:dyDescent="0.3">
      <c r="A6" s="20"/>
      <c r="B6" s="17"/>
      <c r="C6" s="20"/>
      <c r="D6" s="20"/>
      <c r="E6" s="64"/>
      <c r="F6" s="17"/>
      <c r="G6" s="64"/>
      <c r="H6" s="19"/>
    </row>
    <row r="7" spans="1:8" x14ac:dyDescent="0.3">
      <c r="A7" s="20"/>
      <c r="B7" s="17"/>
      <c r="C7" s="20"/>
      <c r="D7" s="20"/>
      <c r="E7" s="64"/>
      <c r="F7" s="17"/>
      <c r="G7" s="64"/>
      <c r="H7" s="19"/>
    </row>
    <row r="8" spans="1:8" x14ac:dyDescent="0.3">
      <c r="A8" s="20"/>
      <c r="B8" s="17"/>
      <c r="C8" s="20"/>
      <c r="D8" s="20"/>
      <c r="E8" s="64"/>
      <c r="F8" s="17"/>
      <c r="G8" s="64"/>
      <c r="H8" s="19"/>
    </row>
    <row r="9" spans="1:8" x14ac:dyDescent="0.3">
      <c r="A9" s="20"/>
      <c r="B9" s="17"/>
      <c r="C9" s="20"/>
      <c r="D9" s="20"/>
      <c r="E9" s="64"/>
      <c r="F9" s="17"/>
      <c r="G9" s="64"/>
      <c r="H9" s="19"/>
    </row>
    <row r="10" spans="1:8" x14ac:dyDescent="0.3">
      <c r="A10" s="20"/>
      <c r="B10" s="17"/>
      <c r="C10" s="20"/>
      <c r="D10" s="20"/>
      <c r="E10" s="64"/>
      <c r="F10" s="17"/>
      <c r="G10" s="64"/>
      <c r="H10" s="19"/>
    </row>
    <row r="11" spans="1:8" x14ac:dyDescent="0.3">
      <c r="A11" s="20"/>
      <c r="B11" s="17"/>
      <c r="C11" s="20"/>
      <c r="D11" s="20"/>
      <c r="E11" s="64"/>
      <c r="F11" s="17"/>
      <c r="G11" s="64"/>
      <c r="H11" s="19"/>
    </row>
    <row r="12" spans="1:8" x14ac:dyDescent="0.3">
      <c r="A12" s="20"/>
      <c r="B12" s="17"/>
      <c r="C12" s="20"/>
      <c r="D12" s="20"/>
      <c r="E12" s="64"/>
      <c r="F12" s="17"/>
      <c r="G12" s="64"/>
      <c r="H12" s="19"/>
    </row>
    <row r="13" spans="1:8" x14ac:dyDescent="0.3">
      <c r="A13" s="20"/>
      <c r="B13" s="17"/>
      <c r="C13" s="20"/>
      <c r="D13" s="20"/>
      <c r="E13" s="64"/>
      <c r="F13" s="17"/>
      <c r="G13" s="64"/>
      <c r="H13" s="19"/>
    </row>
    <row r="14" spans="1:8" x14ac:dyDescent="0.3">
      <c r="A14" s="20"/>
      <c r="B14" s="17"/>
      <c r="C14" s="20"/>
      <c r="D14" s="20"/>
      <c r="E14" s="64"/>
      <c r="F14" s="17"/>
      <c r="G14" s="64"/>
      <c r="H14" s="19"/>
    </row>
    <row r="15" spans="1:8" x14ac:dyDescent="0.3">
      <c r="A15" s="20"/>
      <c r="B15" s="17"/>
      <c r="C15" s="20"/>
      <c r="D15" s="20"/>
      <c r="E15" s="64"/>
      <c r="F15" s="17"/>
      <c r="G15" s="64"/>
      <c r="H15" s="19"/>
    </row>
    <row r="16" spans="1:8" x14ac:dyDescent="0.3">
      <c r="A16" s="20"/>
      <c r="B16" s="17"/>
      <c r="C16" s="20"/>
      <c r="D16" s="20"/>
      <c r="E16" s="64"/>
      <c r="F16" s="17"/>
      <c r="G16" s="64"/>
      <c r="H16" s="19"/>
    </row>
    <row r="17" spans="1:8" x14ac:dyDescent="0.3">
      <c r="A17" s="20"/>
      <c r="B17" s="17"/>
      <c r="C17" s="20"/>
      <c r="D17" s="20"/>
      <c r="E17" s="64"/>
      <c r="F17" s="17"/>
      <c r="G17" s="64"/>
      <c r="H17" s="19"/>
    </row>
    <row r="18" spans="1:8" x14ac:dyDescent="0.3">
      <c r="A18" s="20"/>
      <c r="B18" s="17"/>
      <c r="C18" s="20"/>
      <c r="D18" s="20"/>
      <c r="E18" s="64"/>
      <c r="F18" s="17"/>
      <c r="G18" s="64"/>
      <c r="H18" s="19"/>
    </row>
    <row r="19" spans="1:8" x14ac:dyDescent="0.3">
      <c r="A19" s="20" t="str">
        <f>IF('Bill Master List'!F16="Yes",'Bill Master List'!A16,"")</f>
        <v/>
      </c>
      <c r="B19" s="17" t="str">
        <f>IF('Bill Master List'!F16="Yes",'Bill Master List'!B16,"")</f>
        <v/>
      </c>
      <c r="C19" s="20" t="str">
        <f>IF('Bill Master List'!F16="Yes",'Bill Master List'!C16,"")</f>
        <v/>
      </c>
      <c r="D19" s="20" t="str">
        <f>IF('Bill Master List'!F16="Yes",'Bill Master List'!D16,"")</f>
        <v/>
      </c>
      <c r="E19" s="64" t="str">
        <f>IF('Bill Master List'!F16="Yes",'Bill Master List'!E16,"")</f>
        <v/>
      </c>
      <c r="F19" s="17" t="str">
        <f>IF('Bill Master List'!F16="Yes",'Bill Master List'!G16,"")</f>
        <v/>
      </c>
      <c r="G19" s="64" t="str">
        <f>IF('Bill Master List'!F16="Yes",'Bill Master List'!H16,"")</f>
        <v/>
      </c>
      <c r="H19" s="19" t="str">
        <f>IF('Bill Master List'!F16="Yes",'Bill Master List'!I16,"")</f>
        <v/>
      </c>
    </row>
    <row r="20" spans="1:8" x14ac:dyDescent="0.3">
      <c r="A20" s="20" t="str">
        <f>IF('Bill Master List'!F17="Yes",'Bill Master List'!A17,"")</f>
        <v/>
      </c>
      <c r="B20" s="17" t="str">
        <f>IF('Bill Master List'!F17="Yes",'Bill Master List'!B17,"")</f>
        <v/>
      </c>
      <c r="C20" s="20" t="str">
        <f>IF('Bill Master List'!F17="Yes",'Bill Master List'!C17,"")</f>
        <v/>
      </c>
      <c r="D20" s="20" t="str">
        <f>IF('Bill Master List'!F17="Yes",'Bill Master List'!D17,"")</f>
        <v/>
      </c>
      <c r="E20" s="64" t="str">
        <f>IF('Bill Master List'!F17="Yes",'Bill Master List'!E17,"")</f>
        <v/>
      </c>
      <c r="F20" s="17" t="str">
        <f>IF('Bill Master List'!F17="Yes",'Bill Master List'!G17,"")</f>
        <v/>
      </c>
      <c r="G20" s="64" t="str">
        <f>IF('Bill Master List'!F17="Yes",'Bill Master List'!H17,"")</f>
        <v/>
      </c>
      <c r="H20" s="19" t="str">
        <f>IF('Bill Master List'!F17="Yes",'Bill Master List'!I17,"")</f>
        <v/>
      </c>
    </row>
    <row r="21" spans="1:8" x14ac:dyDescent="0.3">
      <c r="A21" s="20" t="str">
        <f>IF('Bill Master List'!F18="Yes",'Bill Master List'!A18,"")</f>
        <v/>
      </c>
      <c r="B21" s="17" t="str">
        <f>IF('Bill Master List'!F18="Yes",'Bill Master List'!B18,"")</f>
        <v/>
      </c>
      <c r="C21" s="20" t="str">
        <f>IF('Bill Master List'!F18="Yes",'Bill Master List'!C18,"")</f>
        <v/>
      </c>
      <c r="D21" s="20" t="str">
        <f>IF('Bill Master List'!F18="Yes",'Bill Master List'!D18,"")</f>
        <v/>
      </c>
      <c r="E21" s="64" t="str">
        <f>IF('Bill Master List'!F18="Yes",'Bill Master List'!E18,"")</f>
        <v/>
      </c>
      <c r="F21" s="17" t="str">
        <f>IF('Bill Master List'!F18="Yes",'Bill Master List'!G18,"")</f>
        <v/>
      </c>
      <c r="G21" s="64" t="str">
        <f>IF('Bill Master List'!F18="Yes",'Bill Master List'!H18,"")</f>
        <v/>
      </c>
      <c r="H21" s="19" t="str">
        <f>IF('Bill Master List'!F18="Yes",'Bill Master List'!I18,"")</f>
        <v/>
      </c>
    </row>
    <row r="22" spans="1:8" x14ac:dyDescent="0.3">
      <c r="A22" s="20" t="str">
        <f>IF('Bill Master List'!F19="Yes",'Bill Master List'!A19,"")</f>
        <v/>
      </c>
      <c r="B22" s="17" t="str">
        <f>IF('Bill Master List'!F19="Yes",'Bill Master List'!B19,"")</f>
        <v/>
      </c>
      <c r="C22" s="20" t="str">
        <f>IF('Bill Master List'!F19="Yes",'Bill Master List'!C19,"")</f>
        <v/>
      </c>
      <c r="D22" s="20" t="str">
        <f>IF('Bill Master List'!F19="Yes",'Bill Master List'!D19,"")</f>
        <v/>
      </c>
      <c r="E22" s="64" t="str">
        <f>IF('Bill Master List'!F19="Yes",'Bill Master List'!E19,"")</f>
        <v/>
      </c>
      <c r="F22" s="17" t="str">
        <f>IF('Bill Master List'!F19="Yes",'Bill Master List'!G19,"")</f>
        <v/>
      </c>
      <c r="G22" s="64" t="str">
        <f>IF('Bill Master List'!F19="Yes",'Bill Master List'!H19,"")</f>
        <v/>
      </c>
      <c r="H22" s="19" t="str">
        <f>IF('Bill Master List'!F19="Yes",'Bill Master List'!I19,"")</f>
        <v/>
      </c>
    </row>
    <row r="23" spans="1:8" x14ac:dyDescent="0.3">
      <c r="A23" s="20" t="str">
        <f>IF('Bill Master List'!F20="Yes",'Bill Master List'!A20,"")</f>
        <v/>
      </c>
      <c r="B23" s="17" t="str">
        <f>IF('Bill Master List'!F20="Yes",'Bill Master List'!B20,"")</f>
        <v/>
      </c>
      <c r="C23" s="20" t="str">
        <f>IF('Bill Master List'!F20="Yes",'Bill Master List'!C20,"")</f>
        <v/>
      </c>
      <c r="D23" s="20" t="str">
        <f>IF('Bill Master List'!F20="Yes",'Bill Master List'!D20,"")</f>
        <v/>
      </c>
      <c r="E23" s="64" t="str">
        <f>IF('Bill Master List'!F20="Yes",'Bill Master List'!E20,"")</f>
        <v/>
      </c>
      <c r="F23" s="17" t="str">
        <f>IF('Bill Master List'!F20="Yes",'Bill Master List'!G20,"")</f>
        <v/>
      </c>
      <c r="G23" s="64" t="str">
        <f>IF('Bill Master List'!F20="Yes",'Bill Master List'!H20,"")</f>
        <v/>
      </c>
      <c r="H23" s="19" t="str">
        <f>IF('Bill Master List'!F20="Yes",'Bill Master List'!I20,"")</f>
        <v/>
      </c>
    </row>
    <row r="24" spans="1:8" x14ac:dyDescent="0.3">
      <c r="A24" s="20" t="str">
        <f>IF('Bill Master List'!F21="Yes",'Bill Master List'!A21,"")</f>
        <v/>
      </c>
      <c r="B24" s="17" t="str">
        <f>IF('Bill Master List'!F21="Yes",'Bill Master List'!B21,"")</f>
        <v/>
      </c>
      <c r="C24" s="20" t="str">
        <f>IF('Bill Master List'!F21="Yes",'Bill Master List'!C21,"")</f>
        <v/>
      </c>
      <c r="D24" s="20" t="str">
        <f>IF('Bill Master List'!F21="Yes",'Bill Master List'!D21,"")</f>
        <v/>
      </c>
      <c r="E24" s="64" t="str">
        <f>IF('Bill Master List'!F21="Yes",'Bill Master List'!E21,"")</f>
        <v/>
      </c>
      <c r="F24" s="17" t="str">
        <f>IF('Bill Master List'!F21="Yes",'Bill Master List'!G21,"")</f>
        <v/>
      </c>
      <c r="G24" s="64" t="str">
        <f>IF('Bill Master List'!F21="Yes",'Bill Master List'!H21,"")</f>
        <v/>
      </c>
      <c r="H24" s="19" t="str">
        <f>IF('Bill Master List'!F21="Yes",'Bill Master List'!I21,"")</f>
        <v/>
      </c>
    </row>
    <row r="25" spans="1:8" x14ac:dyDescent="0.3">
      <c r="A25" s="20" t="str">
        <f>IF('Bill Master List'!F22="Yes",'Bill Master List'!A22,"")</f>
        <v/>
      </c>
      <c r="B25" s="17" t="str">
        <f>IF('Bill Master List'!F22="Yes",'Bill Master List'!B22,"")</f>
        <v/>
      </c>
      <c r="C25" s="20" t="str">
        <f>IF('Bill Master List'!F22="Yes",'Bill Master List'!C22,"")</f>
        <v/>
      </c>
      <c r="D25" s="20" t="str">
        <f>IF('Bill Master List'!F22="Yes",'Bill Master List'!D22,"")</f>
        <v/>
      </c>
      <c r="E25" s="64" t="str">
        <f>IF('Bill Master List'!F22="Yes",'Bill Master List'!E22,"")</f>
        <v/>
      </c>
      <c r="F25" s="17" t="str">
        <f>IF('Bill Master List'!F22="Yes",'Bill Master List'!G22,"")</f>
        <v/>
      </c>
      <c r="G25" s="64" t="str">
        <f>IF('Bill Master List'!F22="Yes",'Bill Master List'!H22,"")</f>
        <v/>
      </c>
      <c r="H25" s="19" t="str">
        <f>IF('Bill Master List'!F22="Yes",'Bill Master List'!I22,"")</f>
        <v/>
      </c>
    </row>
    <row r="26" spans="1:8" x14ac:dyDescent="0.3">
      <c r="A26" s="20" t="str">
        <f>IF('Bill Master List'!F23="Yes",'Bill Master List'!A23,"")</f>
        <v/>
      </c>
      <c r="B26" s="17" t="str">
        <f>IF('Bill Master List'!F23="Yes",'Bill Master List'!B23,"")</f>
        <v/>
      </c>
      <c r="C26" s="20" t="str">
        <f>IF('Bill Master List'!F23="Yes",'Bill Master List'!C23,"")</f>
        <v/>
      </c>
      <c r="D26" s="20" t="str">
        <f>IF('Bill Master List'!F23="Yes",'Bill Master List'!D23,"")</f>
        <v/>
      </c>
      <c r="E26" s="64" t="str">
        <f>IF('Bill Master List'!F23="Yes",'Bill Master List'!E23,"")</f>
        <v/>
      </c>
      <c r="F26" s="17" t="str">
        <f>IF('Bill Master List'!F23="Yes",'Bill Master List'!G23,"")</f>
        <v/>
      </c>
      <c r="G26" s="64" t="str">
        <f>IF('Bill Master List'!F23="Yes",'Bill Master List'!H23,"")</f>
        <v/>
      </c>
      <c r="H26" s="19" t="str">
        <f>IF('Bill Master List'!F23="Yes",'Bill Master List'!I23,"")</f>
        <v/>
      </c>
    </row>
    <row r="27" spans="1:8" x14ac:dyDescent="0.3">
      <c r="A27" s="20" t="str">
        <f>IF('Bill Master List'!F24="Yes",'Bill Master List'!A24,"")</f>
        <v/>
      </c>
      <c r="B27" s="17" t="str">
        <f>IF('Bill Master List'!F24="Yes",'Bill Master List'!B24,"")</f>
        <v/>
      </c>
      <c r="C27" s="20" t="str">
        <f>IF('Bill Master List'!F24="Yes",'Bill Master List'!C24,"")</f>
        <v/>
      </c>
      <c r="D27" s="20" t="str">
        <f>IF('Bill Master List'!F24="Yes",'Bill Master List'!D24,"")</f>
        <v/>
      </c>
      <c r="E27" s="64" t="str">
        <f>IF('Bill Master List'!F24="Yes",'Bill Master List'!E24,"")</f>
        <v/>
      </c>
      <c r="F27" s="17" t="str">
        <f>IF('Bill Master List'!F24="Yes",'Bill Master List'!G24,"")</f>
        <v/>
      </c>
      <c r="G27" s="64" t="str">
        <f>IF('Bill Master List'!F24="Yes",'Bill Master List'!H24,"")</f>
        <v/>
      </c>
      <c r="H27" s="19" t="str">
        <f>IF('Bill Master List'!F24="Yes",'Bill Master List'!I24,"")</f>
        <v/>
      </c>
    </row>
    <row r="28" spans="1:8" x14ac:dyDescent="0.3">
      <c r="A28" s="20" t="str">
        <f>IF('Bill Master List'!F25="Yes",'Bill Master List'!A25,"")</f>
        <v/>
      </c>
      <c r="B28" s="17" t="str">
        <f>IF('Bill Master List'!F25="Yes",'Bill Master List'!B25,"")</f>
        <v/>
      </c>
      <c r="C28" s="20" t="str">
        <f>IF('Bill Master List'!F25="Yes",'Bill Master List'!C25,"")</f>
        <v/>
      </c>
      <c r="D28" s="20" t="str">
        <f>IF('Bill Master List'!F25="Yes",'Bill Master List'!D25,"")</f>
        <v/>
      </c>
      <c r="E28" s="64" t="str">
        <f>IF('Bill Master List'!F25="Yes",'Bill Master List'!E25,"")</f>
        <v/>
      </c>
      <c r="F28" s="17" t="str">
        <f>IF('Bill Master List'!F25="Yes",'Bill Master List'!G25,"")</f>
        <v/>
      </c>
      <c r="G28" s="64" t="str">
        <f>IF('Bill Master List'!F25="Yes",'Bill Master List'!H25,"")</f>
        <v/>
      </c>
      <c r="H28" s="19" t="str">
        <f>IF('Bill Master List'!F25="Yes",'Bill Master List'!I25,"")</f>
        <v/>
      </c>
    </row>
    <row r="29" spans="1:8" x14ac:dyDescent="0.3">
      <c r="A29" s="20" t="str">
        <f>IF('Bill Master List'!F26="Yes",'Bill Master List'!A26,"")</f>
        <v/>
      </c>
      <c r="B29" s="17" t="str">
        <f>IF('Bill Master List'!F26="Yes",'Bill Master List'!B26,"")</f>
        <v/>
      </c>
      <c r="C29" s="20" t="str">
        <f>IF('Bill Master List'!F26="Yes",'Bill Master List'!C26,"")</f>
        <v/>
      </c>
      <c r="D29" s="20" t="str">
        <f>IF('Bill Master List'!F26="Yes",'Bill Master List'!D26,"")</f>
        <v/>
      </c>
      <c r="E29" s="64" t="str">
        <f>IF('Bill Master List'!F26="Yes",'Bill Master List'!E26,"")</f>
        <v/>
      </c>
      <c r="F29" s="17" t="str">
        <f>IF('Bill Master List'!F26="Yes",'Bill Master List'!G26,"")</f>
        <v/>
      </c>
      <c r="G29" s="64" t="str">
        <f>IF('Bill Master List'!F26="Yes",'Bill Master List'!H26,"")</f>
        <v/>
      </c>
      <c r="H29" s="19" t="str">
        <f>IF('Bill Master List'!F26="Yes",'Bill Master List'!I26,"")</f>
        <v/>
      </c>
    </row>
    <row r="30" spans="1:8" x14ac:dyDescent="0.3">
      <c r="A30" s="20" t="str">
        <f>IF('Bill Master List'!F27="Yes",'Bill Master List'!A27,"")</f>
        <v/>
      </c>
      <c r="B30" s="17" t="str">
        <f>IF('Bill Master List'!F27="Yes",'Bill Master List'!B27,"")</f>
        <v/>
      </c>
      <c r="C30" s="20" t="str">
        <f>IF('Bill Master List'!F27="Yes",'Bill Master List'!C27,"")</f>
        <v/>
      </c>
      <c r="D30" s="20" t="str">
        <f>IF('Bill Master List'!F27="Yes",'Bill Master List'!D27,"")</f>
        <v/>
      </c>
      <c r="E30" s="64" t="str">
        <f>IF('Bill Master List'!F27="Yes",'Bill Master List'!E27,"")</f>
        <v/>
      </c>
      <c r="F30" s="17" t="str">
        <f>IF('Bill Master List'!F27="Yes",'Bill Master List'!G27,"")</f>
        <v/>
      </c>
      <c r="G30" s="64" t="str">
        <f>IF('Bill Master List'!F27="Yes",'Bill Master List'!H27,"")</f>
        <v/>
      </c>
      <c r="H30" s="19" t="str">
        <f>IF('Bill Master List'!F27="Yes",'Bill Master List'!I27,"")</f>
        <v/>
      </c>
    </row>
    <row r="31" spans="1:8" x14ac:dyDescent="0.3">
      <c r="A31" s="20" t="str">
        <f>IF('Bill Master List'!F28="Yes",'Bill Master List'!A28,"")</f>
        <v/>
      </c>
      <c r="B31" s="17" t="str">
        <f>IF('Bill Master List'!F28="Yes",'Bill Master List'!B28,"")</f>
        <v/>
      </c>
      <c r="C31" s="20" t="str">
        <f>IF('Bill Master List'!F28="Yes",'Bill Master List'!C28,"")</f>
        <v/>
      </c>
      <c r="D31" s="20" t="str">
        <f>IF('Bill Master List'!F28="Yes",'Bill Master List'!D28,"")</f>
        <v/>
      </c>
      <c r="E31" s="64" t="str">
        <f>IF('Bill Master List'!F28="Yes",'Bill Master List'!E28,"")</f>
        <v/>
      </c>
      <c r="F31" s="17" t="str">
        <f>IF('Bill Master List'!F28="Yes",'Bill Master List'!G28,"")</f>
        <v/>
      </c>
      <c r="G31" s="64" t="str">
        <f>IF('Bill Master List'!F28="Yes",'Bill Master List'!H28,"")</f>
        <v/>
      </c>
      <c r="H31" s="19" t="str">
        <f>IF('Bill Master List'!F28="Yes",'Bill Master List'!I28,"")</f>
        <v/>
      </c>
    </row>
    <row r="32" spans="1:8" x14ac:dyDescent="0.3">
      <c r="A32" s="20" t="str">
        <f>IF('Bill Master List'!F29="Yes",'Bill Master List'!A29,"")</f>
        <v/>
      </c>
      <c r="B32" s="17" t="str">
        <f>IF('Bill Master List'!F29="Yes",'Bill Master List'!B29,"")</f>
        <v/>
      </c>
      <c r="C32" s="20" t="str">
        <f>IF('Bill Master List'!F29="Yes",'Bill Master List'!C29,"")</f>
        <v/>
      </c>
      <c r="D32" s="20" t="str">
        <f>IF('Bill Master List'!F29="Yes",'Bill Master List'!D29,"")</f>
        <v/>
      </c>
      <c r="E32" s="64" t="str">
        <f>IF('Bill Master List'!F29="Yes",'Bill Master List'!E29,"")</f>
        <v/>
      </c>
      <c r="F32" s="17" t="str">
        <f>IF('Bill Master List'!F29="Yes",'Bill Master List'!G29,"")</f>
        <v/>
      </c>
      <c r="G32" s="64" t="str">
        <f>IF('Bill Master List'!F29="Yes",'Bill Master List'!H29,"")</f>
        <v/>
      </c>
      <c r="H32" s="19" t="str">
        <f>IF('Bill Master List'!F29="Yes",'Bill Master List'!I29,"")</f>
        <v/>
      </c>
    </row>
    <row r="33" spans="1:8" x14ac:dyDescent="0.3">
      <c r="A33" s="20" t="str">
        <f>IF('Bill Master List'!F30="Yes",'Bill Master List'!A30,"")</f>
        <v/>
      </c>
      <c r="B33" s="17" t="str">
        <f>IF('Bill Master List'!F30="Yes",'Bill Master List'!B30,"")</f>
        <v/>
      </c>
      <c r="C33" s="20" t="str">
        <f>IF('Bill Master List'!F30="Yes",'Bill Master List'!C30,"")</f>
        <v/>
      </c>
      <c r="D33" s="20" t="str">
        <f>IF('Bill Master List'!F30="Yes",'Bill Master List'!D30,"")</f>
        <v/>
      </c>
      <c r="E33" s="64" t="str">
        <f>IF('Bill Master List'!F30="Yes",'Bill Master List'!E30,"")</f>
        <v/>
      </c>
      <c r="F33" s="17" t="str">
        <f>IF('Bill Master List'!F30="Yes",'Bill Master List'!G30,"")</f>
        <v/>
      </c>
      <c r="G33" s="64" t="str">
        <f>IF('Bill Master List'!F30="Yes",'Bill Master List'!H30,"")</f>
        <v/>
      </c>
      <c r="H33" s="19" t="str">
        <f>IF('Bill Master List'!F30="Yes",'Bill Master List'!I30,"")</f>
        <v/>
      </c>
    </row>
    <row r="34" spans="1:8" x14ac:dyDescent="0.3">
      <c r="A34" s="20" t="str">
        <f>IF('Bill Master List'!F31="Yes",'Bill Master List'!A31,"")</f>
        <v/>
      </c>
      <c r="B34" s="17" t="str">
        <f>IF('Bill Master List'!F31="Yes",'Bill Master List'!B31,"")</f>
        <v/>
      </c>
      <c r="C34" s="20" t="str">
        <f>IF('Bill Master List'!F31="Yes",'Bill Master List'!C31,"")</f>
        <v/>
      </c>
      <c r="D34" s="20" t="str">
        <f>IF('Bill Master List'!F31="Yes",'Bill Master List'!D31,"")</f>
        <v/>
      </c>
      <c r="E34" s="64" t="str">
        <f>IF('Bill Master List'!F31="Yes",'Bill Master List'!E31,"")</f>
        <v/>
      </c>
      <c r="F34" s="17" t="str">
        <f>IF('Bill Master List'!F31="Yes",'Bill Master List'!G31,"")</f>
        <v/>
      </c>
      <c r="G34" s="64" t="str">
        <f>IF('Bill Master List'!F31="Yes",'Bill Master List'!H31,"")</f>
        <v/>
      </c>
      <c r="H34" s="19" t="str">
        <f>IF('Bill Master List'!F31="Yes",'Bill Master List'!I31,"")</f>
        <v/>
      </c>
    </row>
    <row r="35" spans="1:8" x14ac:dyDescent="0.3">
      <c r="A35" s="20" t="str">
        <f>IF('Bill Master List'!F32="Yes",'Bill Master List'!A32,"")</f>
        <v/>
      </c>
      <c r="B35" s="17" t="str">
        <f>IF('Bill Master List'!F32="Yes",'Bill Master List'!B32,"")</f>
        <v/>
      </c>
      <c r="C35" s="20" t="str">
        <f>IF('Bill Master List'!F32="Yes",'Bill Master List'!C32,"")</f>
        <v/>
      </c>
      <c r="D35" s="20" t="str">
        <f>IF('Bill Master List'!F32="Yes",'Bill Master List'!D32,"")</f>
        <v/>
      </c>
      <c r="E35" s="64" t="str">
        <f>IF('Bill Master List'!F32="Yes",'Bill Master List'!E32,"")</f>
        <v/>
      </c>
      <c r="F35" s="17" t="str">
        <f>IF('Bill Master List'!F32="Yes",'Bill Master List'!G32,"")</f>
        <v/>
      </c>
      <c r="G35" s="64" t="str">
        <f>IF('Bill Master List'!F32="Yes",'Bill Master List'!H32,"")</f>
        <v/>
      </c>
      <c r="H35" s="19" t="str">
        <f>IF('Bill Master List'!F32="Yes",'Bill Master List'!I32,"")</f>
        <v/>
      </c>
    </row>
    <row r="36" spans="1:8" x14ac:dyDescent="0.3">
      <c r="A36" s="22" t="s">
        <v>172</v>
      </c>
      <c r="B36" s="23" t="s">
        <v>173</v>
      </c>
      <c r="C36" s="23" t="s">
        <v>174</v>
      </c>
      <c r="D36" s="23" t="s">
        <v>175</v>
      </c>
      <c r="E36" s="68" t="s">
        <v>176</v>
      </c>
      <c r="F36" s="23" t="s">
        <v>177</v>
      </c>
      <c r="G36" s="65" t="s">
        <v>178</v>
      </c>
      <c r="H36" s="24" t="s">
        <v>179</v>
      </c>
    </row>
    <row r="37" spans="1:8" x14ac:dyDescent="0.3">
      <c r="B37" s="25">
        <f>SUMIF(D6:D35,"Card1",B6:B35)</f>
        <v>0</v>
      </c>
      <c r="C37" s="25">
        <f>SUMIF(D6:D35,"Card2",B6:B35)</f>
        <v>0</v>
      </c>
      <c r="D37" s="25">
        <f>SUMIF(D6:D35,"Card3",B6:B35)</f>
        <v>0</v>
      </c>
      <c r="E37" s="69">
        <f>SUMIF(D6:D35,"Card4",B6:B35)</f>
        <v>0</v>
      </c>
      <c r="F37" s="25">
        <f>SUMIF(D6:D35,"Card5",B6:B35)</f>
        <v>0</v>
      </c>
      <c r="G37" s="66">
        <f>SUM(B6:B35)</f>
        <v>0</v>
      </c>
      <c r="H37" s="26">
        <f>SUM(F6:F35)</f>
        <v>0</v>
      </c>
    </row>
    <row r="39" spans="1:8" ht="15.6" customHeight="1" x14ac:dyDescent="0.3">
      <c r="A39" s="98" t="s">
        <v>180</v>
      </c>
      <c r="B39" s="86"/>
      <c r="C39" s="86"/>
      <c r="D39" s="86"/>
      <c r="E39" s="97"/>
      <c r="F39" s="86"/>
      <c r="G39" s="97"/>
      <c r="H39" s="86"/>
    </row>
    <row r="40" spans="1:8" x14ac:dyDescent="0.3">
      <c r="A40" s="21" t="s">
        <v>130</v>
      </c>
      <c r="B40" s="21" t="s">
        <v>131</v>
      </c>
      <c r="C40" s="21" t="s">
        <v>96</v>
      </c>
      <c r="D40" s="21" t="s">
        <v>170</v>
      </c>
      <c r="E40" s="63" t="s">
        <v>133</v>
      </c>
      <c r="F40" s="21" t="s">
        <v>134</v>
      </c>
      <c r="G40" s="63" t="s">
        <v>171</v>
      </c>
      <c r="H40" s="21" t="s">
        <v>136</v>
      </c>
    </row>
    <row r="41" spans="1:8" x14ac:dyDescent="0.3">
      <c r="A41" s="20" t="s">
        <v>137</v>
      </c>
      <c r="B41" s="17">
        <v>478</v>
      </c>
      <c r="C41" s="20">
        <v>1</v>
      </c>
      <c r="D41" s="20" t="s">
        <v>107</v>
      </c>
      <c r="E41" s="64" t="s">
        <v>138</v>
      </c>
      <c r="F41" s="17">
        <v>40</v>
      </c>
      <c r="G41" s="64">
        <v>5</v>
      </c>
      <c r="H41" s="19" t="s">
        <v>139</v>
      </c>
    </row>
    <row r="42" spans="1:8" ht="28.8" customHeight="1" x14ac:dyDescent="0.3">
      <c r="A42" s="20" t="s">
        <v>149</v>
      </c>
      <c r="B42" s="17">
        <v>785</v>
      </c>
      <c r="C42" s="20">
        <v>24</v>
      </c>
      <c r="D42" s="20" t="s">
        <v>112</v>
      </c>
      <c r="E42" s="64" t="s">
        <v>150</v>
      </c>
      <c r="F42" s="17">
        <v>39</v>
      </c>
      <c r="G42" s="64">
        <v>10</v>
      </c>
      <c r="H42" s="19" t="s">
        <v>151</v>
      </c>
    </row>
    <row r="43" spans="1:8" x14ac:dyDescent="0.3">
      <c r="A43" s="20"/>
      <c r="B43" s="17"/>
      <c r="C43" s="20"/>
      <c r="D43" s="20"/>
      <c r="E43" s="64"/>
      <c r="F43" s="17"/>
      <c r="G43" s="64"/>
      <c r="H43" s="19"/>
    </row>
    <row r="44" spans="1:8" x14ac:dyDescent="0.3">
      <c r="A44" s="20"/>
      <c r="B44" s="17"/>
      <c r="C44" s="20"/>
      <c r="D44" s="20"/>
      <c r="E44" s="64"/>
      <c r="F44" s="17"/>
      <c r="G44" s="64"/>
      <c r="H44" s="19"/>
    </row>
    <row r="45" spans="1:8" x14ac:dyDescent="0.3">
      <c r="A45" s="20"/>
      <c r="B45" s="17"/>
      <c r="C45" s="20"/>
      <c r="D45" s="20"/>
      <c r="E45" s="64"/>
      <c r="F45" s="17"/>
      <c r="G45" s="64"/>
      <c r="H45" s="19"/>
    </row>
    <row r="46" spans="1:8" x14ac:dyDescent="0.3">
      <c r="A46" s="20"/>
      <c r="B46" s="17"/>
      <c r="C46" s="20"/>
      <c r="D46" s="20"/>
      <c r="E46" s="64"/>
      <c r="F46" s="17"/>
      <c r="G46" s="64"/>
      <c r="H46" s="19"/>
    </row>
    <row r="47" spans="1:8" x14ac:dyDescent="0.3">
      <c r="A47" s="20"/>
      <c r="B47" s="17"/>
      <c r="C47" s="20"/>
      <c r="D47" s="20"/>
      <c r="E47" s="64"/>
      <c r="F47" s="17"/>
      <c r="G47" s="64"/>
      <c r="H47" s="19"/>
    </row>
    <row r="48" spans="1:8" x14ac:dyDescent="0.3">
      <c r="A48" s="20"/>
      <c r="B48" s="17"/>
      <c r="C48" s="20"/>
      <c r="D48" s="20"/>
      <c r="E48" s="64"/>
      <c r="F48" s="17"/>
      <c r="G48" s="64"/>
      <c r="H48" s="19"/>
    </row>
    <row r="49" spans="1:8" x14ac:dyDescent="0.3">
      <c r="A49" s="20"/>
      <c r="B49" s="17"/>
      <c r="C49" s="20"/>
      <c r="D49" s="20"/>
      <c r="E49" s="64"/>
      <c r="F49" s="17"/>
      <c r="G49" s="64"/>
      <c r="H49" s="19"/>
    </row>
    <row r="50" spans="1:8" x14ac:dyDescent="0.3">
      <c r="A50" s="20"/>
      <c r="B50" s="17"/>
      <c r="C50" s="20"/>
      <c r="D50" s="20"/>
      <c r="E50" s="64"/>
      <c r="F50" s="17"/>
      <c r="G50" s="64"/>
      <c r="H50" s="19"/>
    </row>
    <row r="51" spans="1:8" x14ac:dyDescent="0.3">
      <c r="A51" s="20"/>
      <c r="B51" s="17"/>
      <c r="C51" s="20"/>
      <c r="D51" s="20"/>
      <c r="E51" s="64"/>
      <c r="F51" s="17"/>
      <c r="G51" s="64"/>
      <c r="H51" s="19"/>
    </row>
    <row r="52" spans="1:8" x14ac:dyDescent="0.3">
      <c r="A52" s="20"/>
      <c r="B52" s="17"/>
      <c r="C52" s="20"/>
      <c r="D52" s="20"/>
      <c r="E52" s="64"/>
      <c r="F52" s="17"/>
      <c r="G52" s="64"/>
      <c r="H52" s="19"/>
    </row>
    <row r="53" spans="1:8" x14ac:dyDescent="0.3">
      <c r="A53" s="20"/>
      <c r="B53" s="17"/>
      <c r="C53" s="20"/>
      <c r="D53" s="20"/>
      <c r="E53" s="64"/>
      <c r="F53" s="17"/>
      <c r="G53" s="64"/>
      <c r="H53" s="19"/>
    </row>
    <row r="54" spans="1:8" x14ac:dyDescent="0.3">
      <c r="A54" s="20" t="str">
        <f>IF('Bill Master List'!F16="Yes",'Bill Master List'!A16,"")</f>
        <v/>
      </c>
      <c r="B54" s="17" t="str">
        <f>IF('Bill Master List'!F16="Yes",'Bill Master List'!B16,"")</f>
        <v/>
      </c>
      <c r="C54" s="20" t="str">
        <f>IF('Bill Master List'!F16="Yes",'Bill Master List'!C16,"")</f>
        <v/>
      </c>
      <c r="D54" s="20" t="str">
        <f>IF('Bill Master List'!F16="Yes",'Bill Master List'!D16,"")</f>
        <v/>
      </c>
      <c r="E54" s="64" t="str">
        <f>IF('Bill Master List'!F16="Yes",'Bill Master List'!E16,"")</f>
        <v/>
      </c>
      <c r="F54" s="17" t="str">
        <f>IF('Bill Master List'!F16="Yes",'Bill Master List'!G16,"")</f>
        <v/>
      </c>
      <c r="G54" s="64" t="str">
        <f>IF('Bill Master List'!F16="Yes",'Bill Master List'!H16,"")</f>
        <v/>
      </c>
      <c r="H54" s="19" t="str">
        <f>IF('Bill Master List'!F16="Yes",'Bill Master List'!I16,"")</f>
        <v/>
      </c>
    </row>
    <row r="55" spans="1:8" x14ac:dyDescent="0.3">
      <c r="A55" s="20" t="str">
        <f>IF('Bill Master List'!F17="Yes",'Bill Master List'!A17,"")</f>
        <v/>
      </c>
      <c r="B55" s="17" t="str">
        <f>IF('Bill Master List'!F17="Yes",'Bill Master List'!B17,"")</f>
        <v/>
      </c>
      <c r="C55" s="20" t="str">
        <f>IF('Bill Master List'!F17="Yes",'Bill Master List'!C17,"")</f>
        <v/>
      </c>
      <c r="D55" s="20" t="str">
        <f>IF('Bill Master List'!F17="Yes",'Bill Master List'!D17,"")</f>
        <v/>
      </c>
      <c r="E55" s="64" t="str">
        <f>IF('Bill Master List'!F17="Yes",'Bill Master List'!E17,"")</f>
        <v/>
      </c>
      <c r="F55" s="17" t="str">
        <f>IF('Bill Master List'!F17="Yes",'Bill Master List'!G17,"")</f>
        <v/>
      </c>
      <c r="G55" s="64" t="str">
        <f>IF('Bill Master List'!F17="Yes",'Bill Master List'!H17,"")</f>
        <v/>
      </c>
      <c r="H55" s="19" t="str">
        <f>IF('Bill Master List'!F17="Yes",'Bill Master List'!I17,"")</f>
        <v/>
      </c>
    </row>
    <row r="56" spans="1:8" x14ac:dyDescent="0.3">
      <c r="A56" s="20" t="str">
        <f>IF('Bill Master List'!F18="Yes",'Bill Master List'!A18,"")</f>
        <v/>
      </c>
      <c r="B56" s="17" t="str">
        <f>IF('Bill Master List'!F18="Yes",'Bill Master List'!B18,"")</f>
        <v/>
      </c>
      <c r="C56" s="20" t="str">
        <f>IF('Bill Master List'!F18="Yes",'Bill Master List'!C18,"")</f>
        <v/>
      </c>
      <c r="D56" s="20" t="str">
        <f>IF('Bill Master List'!F18="Yes",'Bill Master List'!D18,"")</f>
        <v/>
      </c>
      <c r="E56" s="64" t="str">
        <f>IF('Bill Master List'!F18="Yes",'Bill Master List'!E18,"")</f>
        <v/>
      </c>
      <c r="F56" s="17" t="str">
        <f>IF('Bill Master List'!F18="Yes",'Bill Master List'!G18,"")</f>
        <v/>
      </c>
      <c r="G56" s="64" t="str">
        <f>IF('Bill Master List'!F18="Yes",'Bill Master List'!H18,"")</f>
        <v/>
      </c>
      <c r="H56" s="19" t="str">
        <f>IF('Bill Master List'!F18="Yes",'Bill Master List'!I18,"")</f>
        <v/>
      </c>
    </row>
    <row r="57" spans="1:8" x14ac:dyDescent="0.3">
      <c r="A57" s="20" t="str">
        <f>IF('Bill Master List'!F19="Yes",'Bill Master List'!A19,"")</f>
        <v/>
      </c>
      <c r="B57" s="17" t="str">
        <f>IF('Bill Master List'!F19="Yes",'Bill Master List'!B19,"")</f>
        <v/>
      </c>
      <c r="C57" s="20" t="str">
        <f>IF('Bill Master List'!F19="Yes",'Bill Master List'!C19,"")</f>
        <v/>
      </c>
      <c r="D57" s="20" t="str">
        <f>IF('Bill Master List'!F19="Yes",'Bill Master List'!D19,"")</f>
        <v/>
      </c>
      <c r="E57" s="64" t="str">
        <f>IF('Bill Master List'!F19="Yes",'Bill Master List'!E19,"")</f>
        <v/>
      </c>
      <c r="F57" s="17" t="str">
        <f>IF('Bill Master List'!F19="Yes",'Bill Master List'!G19,"")</f>
        <v/>
      </c>
      <c r="G57" s="64" t="str">
        <f>IF('Bill Master List'!F19="Yes",'Bill Master List'!H19,"")</f>
        <v/>
      </c>
      <c r="H57" s="19" t="str">
        <f>IF('Bill Master List'!F19="Yes",'Bill Master List'!I19,"")</f>
        <v/>
      </c>
    </row>
    <row r="58" spans="1:8" x14ac:dyDescent="0.3">
      <c r="A58" s="20" t="str">
        <f>IF('Bill Master List'!F20="Yes",'Bill Master List'!A20,"")</f>
        <v/>
      </c>
      <c r="B58" s="17" t="str">
        <f>IF('Bill Master List'!F20="Yes",'Bill Master List'!B20,"")</f>
        <v/>
      </c>
      <c r="C58" s="20" t="str">
        <f>IF('Bill Master List'!F20="Yes",'Bill Master List'!C20,"")</f>
        <v/>
      </c>
      <c r="D58" s="20" t="str">
        <f>IF('Bill Master List'!F20="Yes",'Bill Master List'!D20,"")</f>
        <v/>
      </c>
      <c r="E58" s="64" t="str">
        <f>IF('Bill Master List'!F20="Yes",'Bill Master List'!E20,"")</f>
        <v/>
      </c>
      <c r="F58" s="17" t="str">
        <f>IF('Bill Master List'!F20="Yes",'Bill Master List'!G20,"")</f>
        <v/>
      </c>
      <c r="G58" s="64" t="str">
        <f>IF('Bill Master List'!F20="Yes",'Bill Master List'!H20,"")</f>
        <v/>
      </c>
      <c r="H58" s="19" t="str">
        <f>IF('Bill Master List'!F20="Yes",'Bill Master List'!I20,"")</f>
        <v/>
      </c>
    </row>
    <row r="59" spans="1:8" x14ac:dyDescent="0.3">
      <c r="A59" s="20" t="str">
        <f>IF('Bill Master List'!F21="Yes",'Bill Master List'!A21,"")</f>
        <v/>
      </c>
      <c r="B59" s="17" t="str">
        <f>IF('Bill Master List'!F21="Yes",'Bill Master List'!B21,"")</f>
        <v/>
      </c>
      <c r="C59" s="20" t="str">
        <f>IF('Bill Master List'!F21="Yes",'Bill Master List'!C21,"")</f>
        <v/>
      </c>
      <c r="D59" s="20" t="str">
        <f>IF('Bill Master List'!F21="Yes",'Bill Master List'!D21,"")</f>
        <v/>
      </c>
      <c r="E59" s="64" t="str">
        <f>IF('Bill Master List'!F21="Yes",'Bill Master List'!E21,"")</f>
        <v/>
      </c>
      <c r="F59" s="17" t="str">
        <f>IF('Bill Master List'!F21="Yes",'Bill Master List'!G21,"")</f>
        <v/>
      </c>
      <c r="G59" s="64" t="str">
        <f>IF('Bill Master List'!F21="Yes",'Bill Master List'!H21,"")</f>
        <v/>
      </c>
      <c r="H59" s="19" t="str">
        <f>IF('Bill Master List'!F21="Yes",'Bill Master List'!I21,"")</f>
        <v/>
      </c>
    </row>
    <row r="60" spans="1:8" x14ac:dyDescent="0.3">
      <c r="A60" s="20" t="str">
        <f>IF('Bill Master List'!F22="Yes",'Bill Master List'!A22,"")</f>
        <v/>
      </c>
      <c r="B60" s="17" t="str">
        <f>IF('Bill Master List'!F22="Yes",'Bill Master List'!B22,"")</f>
        <v/>
      </c>
      <c r="C60" s="20" t="str">
        <f>IF('Bill Master List'!F22="Yes",'Bill Master List'!C22,"")</f>
        <v/>
      </c>
      <c r="D60" s="20" t="str">
        <f>IF('Bill Master List'!F22="Yes",'Bill Master List'!D22,"")</f>
        <v/>
      </c>
      <c r="E60" s="64" t="str">
        <f>IF('Bill Master List'!F22="Yes",'Bill Master List'!E22,"")</f>
        <v/>
      </c>
      <c r="F60" s="17" t="str">
        <f>IF('Bill Master List'!F22="Yes",'Bill Master List'!G22,"")</f>
        <v/>
      </c>
      <c r="G60" s="64" t="str">
        <f>IF('Bill Master List'!F22="Yes",'Bill Master List'!H22,"")</f>
        <v/>
      </c>
      <c r="H60" s="19" t="str">
        <f>IF('Bill Master List'!F22="Yes",'Bill Master List'!I22,"")</f>
        <v/>
      </c>
    </row>
    <row r="61" spans="1:8" x14ac:dyDescent="0.3">
      <c r="A61" s="20" t="str">
        <f>IF('Bill Master List'!F23="Yes",'Bill Master List'!A23,"")</f>
        <v/>
      </c>
      <c r="B61" s="17" t="str">
        <f>IF('Bill Master List'!F23="Yes",'Bill Master List'!B23,"")</f>
        <v/>
      </c>
      <c r="C61" s="20" t="str">
        <f>IF('Bill Master List'!F23="Yes",'Bill Master List'!C23,"")</f>
        <v/>
      </c>
      <c r="D61" s="20" t="str">
        <f>IF('Bill Master List'!F23="Yes",'Bill Master List'!D23,"")</f>
        <v/>
      </c>
      <c r="E61" s="64" t="str">
        <f>IF('Bill Master List'!F23="Yes",'Bill Master List'!E23,"")</f>
        <v/>
      </c>
      <c r="F61" s="17" t="str">
        <f>IF('Bill Master List'!F23="Yes",'Bill Master List'!G23,"")</f>
        <v/>
      </c>
      <c r="G61" s="64" t="str">
        <f>IF('Bill Master List'!F23="Yes",'Bill Master List'!H23,"")</f>
        <v/>
      </c>
      <c r="H61" s="19" t="str">
        <f>IF('Bill Master List'!F23="Yes",'Bill Master List'!I23,"")</f>
        <v/>
      </c>
    </row>
    <row r="62" spans="1:8" x14ac:dyDescent="0.3">
      <c r="A62" s="20" t="str">
        <f>IF('Bill Master List'!F24="Yes",'Bill Master List'!A24,"")</f>
        <v/>
      </c>
      <c r="B62" s="17" t="str">
        <f>IF('Bill Master List'!F24="Yes",'Bill Master List'!B24,"")</f>
        <v/>
      </c>
      <c r="C62" s="20" t="str">
        <f>IF('Bill Master List'!F24="Yes",'Bill Master List'!C24,"")</f>
        <v/>
      </c>
      <c r="D62" s="20" t="str">
        <f>IF('Bill Master List'!F24="Yes",'Bill Master List'!D24,"")</f>
        <v/>
      </c>
      <c r="E62" s="64" t="str">
        <f>IF('Bill Master List'!F24="Yes",'Bill Master List'!E24,"")</f>
        <v/>
      </c>
      <c r="F62" s="17" t="str">
        <f>IF('Bill Master List'!F24="Yes",'Bill Master List'!G24,"")</f>
        <v/>
      </c>
      <c r="G62" s="64" t="str">
        <f>IF('Bill Master List'!F24="Yes",'Bill Master List'!H24,"")</f>
        <v/>
      </c>
      <c r="H62" s="19" t="str">
        <f>IF('Bill Master List'!F24="Yes",'Bill Master List'!I24,"")</f>
        <v/>
      </c>
    </row>
    <row r="63" spans="1:8" x14ac:dyDescent="0.3">
      <c r="A63" s="20" t="str">
        <f>IF('Bill Master List'!F25="Yes",'Bill Master List'!A25,"")</f>
        <v/>
      </c>
      <c r="B63" s="17" t="str">
        <f>IF('Bill Master List'!F25="Yes",'Bill Master List'!B25,"")</f>
        <v/>
      </c>
      <c r="C63" s="20" t="str">
        <f>IF('Bill Master List'!F25="Yes",'Bill Master List'!C25,"")</f>
        <v/>
      </c>
      <c r="D63" s="20" t="str">
        <f>IF('Bill Master List'!F25="Yes",'Bill Master List'!D25,"")</f>
        <v/>
      </c>
      <c r="E63" s="64" t="str">
        <f>IF('Bill Master List'!F25="Yes",'Bill Master List'!E25,"")</f>
        <v/>
      </c>
      <c r="F63" s="17" t="str">
        <f>IF('Bill Master List'!F25="Yes",'Bill Master List'!G25,"")</f>
        <v/>
      </c>
      <c r="G63" s="64" t="str">
        <f>IF('Bill Master List'!F25="Yes",'Bill Master List'!H25,"")</f>
        <v/>
      </c>
      <c r="H63" s="19" t="str">
        <f>IF('Bill Master List'!F25="Yes",'Bill Master List'!I25,"")</f>
        <v/>
      </c>
    </row>
    <row r="64" spans="1:8" x14ac:dyDescent="0.3">
      <c r="A64" s="20" t="str">
        <f>IF('Bill Master List'!F26="Yes",'Bill Master List'!A26,"")</f>
        <v/>
      </c>
      <c r="B64" s="17" t="str">
        <f>IF('Bill Master List'!F26="Yes",'Bill Master List'!B26,"")</f>
        <v/>
      </c>
      <c r="C64" s="20" t="str">
        <f>IF('Bill Master List'!F26="Yes",'Bill Master List'!C26,"")</f>
        <v/>
      </c>
      <c r="D64" s="20" t="str">
        <f>IF('Bill Master List'!F26="Yes",'Bill Master List'!D26,"")</f>
        <v/>
      </c>
      <c r="E64" s="64" t="str">
        <f>IF('Bill Master List'!F26="Yes",'Bill Master List'!E26,"")</f>
        <v/>
      </c>
      <c r="F64" s="17" t="str">
        <f>IF('Bill Master List'!F26="Yes",'Bill Master List'!G26,"")</f>
        <v/>
      </c>
      <c r="G64" s="64" t="str">
        <f>IF('Bill Master List'!F26="Yes",'Bill Master List'!H26,"")</f>
        <v/>
      </c>
      <c r="H64" s="19" t="str">
        <f>IF('Bill Master List'!F26="Yes",'Bill Master List'!I26,"")</f>
        <v/>
      </c>
    </row>
    <row r="65" spans="1:8" x14ac:dyDescent="0.3">
      <c r="A65" s="20" t="str">
        <f>IF('Bill Master List'!F27="Yes",'Bill Master List'!A27,"")</f>
        <v/>
      </c>
      <c r="B65" s="17" t="str">
        <f>IF('Bill Master List'!F27="Yes",'Bill Master List'!B27,"")</f>
        <v/>
      </c>
      <c r="C65" s="20" t="str">
        <f>IF('Bill Master List'!F27="Yes",'Bill Master List'!C27,"")</f>
        <v/>
      </c>
      <c r="D65" s="20" t="str">
        <f>IF('Bill Master List'!F27="Yes",'Bill Master List'!D27,"")</f>
        <v/>
      </c>
      <c r="E65" s="64" t="str">
        <f>IF('Bill Master List'!F27="Yes",'Bill Master List'!E27,"")</f>
        <v/>
      </c>
      <c r="F65" s="17" t="str">
        <f>IF('Bill Master List'!F27="Yes",'Bill Master List'!G27,"")</f>
        <v/>
      </c>
      <c r="G65" s="64" t="str">
        <f>IF('Bill Master List'!F27="Yes",'Bill Master List'!H27,"")</f>
        <v/>
      </c>
      <c r="H65" s="19" t="str">
        <f>IF('Bill Master List'!F27="Yes",'Bill Master List'!I27,"")</f>
        <v/>
      </c>
    </row>
    <row r="66" spans="1:8" x14ac:dyDescent="0.3">
      <c r="A66" s="20" t="str">
        <f>IF('Bill Master List'!F28="Yes",'Bill Master List'!A28,"")</f>
        <v/>
      </c>
      <c r="B66" s="17" t="str">
        <f>IF('Bill Master List'!F28="Yes",'Bill Master List'!B28,"")</f>
        <v/>
      </c>
      <c r="C66" s="20" t="str">
        <f>IF('Bill Master List'!F28="Yes",'Bill Master List'!C28,"")</f>
        <v/>
      </c>
      <c r="D66" s="20" t="str">
        <f>IF('Bill Master List'!F28="Yes",'Bill Master List'!D28,"")</f>
        <v/>
      </c>
      <c r="E66" s="64" t="str">
        <f>IF('Bill Master List'!F28="Yes",'Bill Master List'!E28,"")</f>
        <v/>
      </c>
      <c r="F66" s="17" t="str">
        <f>IF('Bill Master List'!F28="Yes",'Bill Master List'!G28,"")</f>
        <v/>
      </c>
      <c r="G66" s="64" t="str">
        <f>IF('Bill Master List'!F28="Yes",'Bill Master List'!H28,"")</f>
        <v/>
      </c>
      <c r="H66" s="19" t="str">
        <f>IF('Bill Master List'!F28="Yes",'Bill Master List'!I28,"")</f>
        <v/>
      </c>
    </row>
    <row r="67" spans="1:8" x14ac:dyDescent="0.3">
      <c r="A67" s="20" t="str">
        <f>IF('Bill Master List'!F29="Yes",'Bill Master List'!A29,"")</f>
        <v/>
      </c>
      <c r="B67" s="17" t="str">
        <f>IF('Bill Master List'!F29="Yes",'Bill Master List'!B29,"")</f>
        <v/>
      </c>
      <c r="C67" s="20" t="str">
        <f>IF('Bill Master List'!F29="Yes",'Bill Master List'!C29,"")</f>
        <v/>
      </c>
      <c r="D67" s="20" t="str">
        <f>IF('Bill Master List'!F29="Yes",'Bill Master List'!D29,"")</f>
        <v/>
      </c>
      <c r="E67" s="64" t="str">
        <f>IF('Bill Master List'!F29="Yes",'Bill Master List'!E29,"")</f>
        <v/>
      </c>
      <c r="F67" s="17" t="str">
        <f>IF('Bill Master List'!F29="Yes",'Bill Master List'!G29,"")</f>
        <v/>
      </c>
      <c r="G67" s="64" t="str">
        <f>IF('Bill Master List'!F29="Yes",'Bill Master List'!H29,"")</f>
        <v/>
      </c>
      <c r="H67" s="19" t="str">
        <f>IF('Bill Master List'!F29="Yes",'Bill Master List'!I29,"")</f>
        <v/>
      </c>
    </row>
    <row r="68" spans="1:8" x14ac:dyDescent="0.3">
      <c r="A68" s="20" t="str">
        <f>IF('Bill Master List'!F30="Yes",'Bill Master List'!A30,"")</f>
        <v/>
      </c>
      <c r="B68" s="17" t="str">
        <f>IF('Bill Master List'!F30="Yes",'Bill Master List'!B30,"")</f>
        <v/>
      </c>
      <c r="C68" s="20" t="str">
        <f>IF('Bill Master List'!F30="Yes",'Bill Master List'!C30,"")</f>
        <v/>
      </c>
      <c r="D68" s="20" t="str">
        <f>IF('Bill Master List'!F30="Yes",'Bill Master List'!D30,"")</f>
        <v/>
      </c>
      <c r="E68" s="64" t="str">
        <f>IF('Bill Master List'!F30="Yes",'Bill Master List'!E30,"")</f>
        <v/>
      </c>
      <c r="F68" s="17" t="str">
        <f>IF('Bill Master List'!F30="Yes",'Bill Master List'!G30,"")</f>
        <v/>
      </c>
      <c r="G68" s="64" t="str">
        <f>IF('Bill Master List'!F30="Yes",'Bill Master List'!H30,"")</f>
        <v/>
      </c>
      <c r="H68" s="19" t="str">
        <f>IF('Bill Master List'!F30="Yes",'Bill Master List'!I30,"")</f>
        <v/>
      </c>
    </row>
    <row r="69" spans="1:8" x14ac:dyDescent="0.3">
      <c r="A69" s="20" t="str">
        <f>IF('Bill Master List'!F31="Yes",'Bill Master List'!A31,"")</f>
        <v/>
      </c>
      <c r="B69" s="17" t="str">
        <f>IF('Bill Master List'!F31="Yes",'Bill Master List'!B31,"")</f>
        <v/>
      </c>
      <c r="C69" s="20" t="str">
        <f>IF('Bill Master List'!F31="Yes",'Bill Master List'!C31,"")</f>
        <v/>
      </c>
      <c r="D69" s="20" t="str">
        <f>IF('Bill Master List'!F31="Yes",'Bill Master List'!D31,"")</f>
        <v/>
      </c>
      <c r="E69" s="64" t="str">
        <f>IF('Bill Master List'!F31="Yes",'Bill Master List'!E31,"")</f>
        <v/>
      </c>
      <c r="F69" s="17" t="str">
        <f>IF('Bill Master List'!F31="Yes",'Bill Master List'!G31,"")</f>
        <v/>
      </c>
      <c r="G69" s="64" t="str">
        <f>IF('Bill Master List'!F31="Yes",'Bill Master List'!H31,"")</f>
        <v/>
      </c>
      <c r="H69" s="19" t="str">
        <f>IF('Bill Master List'!F31="Yes",'Bill Master List'!I31,"")</f>
        <v/>
      </c>
    </row>
    <row r="70" spans="1:8" x14ac:dyDescent="0.3">
      <c r="A70" s="20" t="str">
        <f>IF('Bill Master List'!F32="Yes",'Bill Master List'!A32,"")</f>
        <v/>
      </c>
      <c r="B70" s="17" t="str">
        <f>IF('Bill Master List'!F32="Yes",'Bill Master List'!B32,"")</f>
        <v/>
      </c>
      <c r="C70" s="20" t="str">
        <f>IF('Bill Master List'!F32="Yes",'Bill Master List'!C32,"")</f>
        <v/>
      </c>
      <c r="D70" s="20" t="str">
        <f>IF('Bill Master List'!F32="Yes",'Bill Master List'!D32,"")</f>
        <v/>
      </c>
      <c r="E70" s="64" t="str">
        <f>IF('Bill Master List'!F32="Yes",'Bill Master List'!E32,"")</f>
        <v/>
      </c>
      <c r="F70" s="17" t="str">
        <f>IF('Bill Master List'!F32="Yes",'Bill Master List'!G32,"")</f>
        <v/>
      </c>
      <c r="G70" s="64" t="str">
        <f>IF('Bill Master List'!F32="Yes",'Bill Master List'!H32,"")</f>
        <v/>
      </c>
      <c r="H70" s="19" t="str">
        <f>IF('Bill Master List'!F32="Yes",'Bill Master List'!I32,"")</f>
        <v/>
      </c>
    </row>
    <row r="71" spans="1:8" x14ac:dyDescent="0.3">
      <c r="A71" s="22" t="s">
        <v>172</v>
      </c>
      <c r="B71" s="23" t="s">
        <v>173</v>
      </c>
      <c r="C71" s="23" t="s">
        <v>174</v>
      </c>
      <c r="D71" s="23" t="s">
        <v>175</v>
      </c>
      <c r="E71" s="68" t="s">
        <v>176</v>
      </c>
      <c r="F71" s="23" t="s">
        <v>177</v>
      </c>
      <c r="G71" s="65" t="s">
        <v>178</v>
      </c>
      <c r="H71" s="24" t="s">
        <v>179</v>
      </c>
    </row>
    <row r="72" spans="1:8" x14ac:dyDescent="0.3">
      <c r="B72" s="25">
        <f>SUMIF(D41:D70,"Card1",B41:B70)</f>
        <v>478</v>
      </c>
      <c r="C72" s="25">
        <f>SUMIF(D41:D70,"Card2",B41:B70)</f>
        <v>0</v>
      </c>
      <c r="D72" s="25">
        <f>SUMIF(D41:D70,"Card3",B41:B70)</f>
        <v>785</v>
      </c>
      <c r="E72" s="69">
        <f>SUMIF(D41:D70,"Card4",B41:B70)</f>
        <v>0</v>
      </c>
      <c r="F72" s="25">
        <f>SUMIF(D41:D70,"Card5",B41:B70)</f>
        <v>0</v>
      </c>
      <c r="G72" s="66">
        <f>SUM(B41:B70)</f>
        <v>1263</v>
      </c>
      <c r="H72" s="26">
        <f>SUM(F41:F70)</f>
        <v>79</v>
      </c>
    </row>
    <row r="74" spans="1:8" ht="15.6" customHeight="1" x14ac:dyDescent="0.3">
      <c r="A74" s="98" t="s">
        <v>181</v>
      </c>
      <c r="B74" s="86"/>
      <c r="C74" s="86"/>
      <c r="D74" s="86"/>
      <c r="E74" s="97"/>
      <c r="F74" s="86"/>
      <c r="G74" s="97"/>
      <c r="H74" s="86"/>
    </row>
    <row r="75" spans="1:8" x14ac:dyDescent="0.3">
      <c r="A75" s="21" t="s">
        <v>130</v>
      </c>
      <c r="B75" s="21" t="s">
        <v>131</v>
      </c>
      <c r="C75" s="21" t="s">
        <v>96</v>
      </c>
      <c r="D75" s="21" t="s">
        <v>170</v>
      </c>
      <c r="E75" s="63" t="s">
        <v>133</v>
      </c>
      <c r="F75" s="21" t="s">
        <v>134</v>
      </c>
      <c r="G75" s="63" t="s">
        <v>171</v>
      </c>
      <c r="H75" s="21" t="s">
        <v>136</v>
      </c>
    </row>
    <row r="76" spans="1:8" x14ac:dyDescent="0.3">
      <c r="A76" s="20" t="str">
        <f>IF('Bill Master List'!F3="Yes",'Bill Master List'!A3,"")</f>
        <v>Storage 1</v>
      </c>
      <c r="B76" s="17">
        <f>IF('Bill Master List'!F3="Yes",'Bill Master List'!B3,"")</f>
        <v>478</v>
      </c>
      <c r="C76" s="20">
        <f>IF('Bill Master List'!F3="Yes",'Bill Master List'!C3,"")</f>
        <v>1</v>
      </c>
      <c r="D76" s="20" t="str">
        <f>IF('Bill Master List'!F3="Yes",'Bill Master List'!D3,"")</f>
        <v>Card1</v>
      </c>
      <c r="E76" s="64" t="str">
        <f>IF('Bill Master List'!F3="Yes",'Bill Master List'!E3,"")</f>
        <v>Housing</v>
      </c>
      <c r="F76" s="17">
        <f>IF('Bill Master List'!F3="Yes",'Bill Master List'!G3,"")</f>
        <v>40</v>
      </c>
      <c r="G76" s="64">
        <f>IF('Bill Master List'!F3="Yes",'Bill Master List'!H3,"")</f>
        <v>5</v>
      </c>
      <c r="H76" s="19" t="str">
        <f>IF('Bill Master List'!F3="Yes",'Bill Master List'!I3,"")</f>
        <v>Lien risk after 30 days late</v>
      </c>
    </row>
    <row r="77" spans="1:8" x14ac:dyDescent="0.3">
      <c r="A77" s="20" t="str">
        <f>IF('Bill Master List'!F4="Yes",'Bill Master List'!A4,"")</f>
        <v>Storage 2</v>
      </c>
      <c r="B77" s="17">
        <f>IF('Bill Master List'!F4="Yes",'Bill Master List'!B4,"")</f>
        <v>109</v>
      </c>
      <c r="C77" s="20">
        <f>IF('Bill Master List'!F4="Yes",'Bill Master List'!C4,"")</f>
        <v>1</v>
      </c>
      <c r="D77" s="20" t="str">
        <f>IF('Bill Master List'!F4="Yes",'Bill Master List'!D4,"")</f>
        <v>Card1</v>
      </c>
      <c r="E77" s="64" t="str">
        <f>IF('Bill Master List'!F4="Yes",'Bill Master List'!E4,"")</f>
        <v>Housing</v>
      </c>
      <c r="F77" s="17">
        <f>IF('Bill Master List'!F4="Yes",'Bill Master List'!G4,"")</f>
        <v>25</v>
      </c>
      <c r="G77" s="64">
        <f>IF('Bill Master List'!F4="Yes",'Bill Master List'!H4,"")</f>
        <v>5</v>
      </c>
      <c r="H77" s="19" t="str">
        <f>IF('Bill Master List'!F4="Yes",'Bill Master List'!I4,"")</f>
        <v>Lien risk after 30 days late</v>
      </c>
    </row>
    <row r="78" spans="1:8" x14ac:dyDescent="0.3">
      <c r="A78" s="20" t="str">
        <f>IF('Bill Master List'!F5="Yes",'Bill Master List'!A5,"")</f>
        <v>Storage 3</v>
      </c>
      <c r="B78" s="17">
        <f>IF('Bill Master List'!F5="Yes",'Bill Master List'!B5,"")</f>
        <v>180</v>
      </c>
      <c r="C78" s="20">
        <f>IF('Bill Master List'!F5="Yes",'Bill Master List'!C5,"")</f>
        <v>1</v>
      </c>
      <c r="D78" s="20" t="str">
        <f>IF('Bill Master List'!F5="Yes",'Bill Master List'!D5,"")</f>
        <v>Card2</v>
      </c>
      <c r="E78" s="64" t="str">
        <f>IF('Bill Master List'!F5="Yes",'Bill Master List'!E5,"")</f>
        <v>Housing</v>
      </c>
      <c r="F78" s="17">
        <f>IF('Bill Master List'!F5="Yes",'Bill Master List'!G5,"")</f>
        <v>25</v>
      </c>
      <c r="G78" s="64">
        <f>IF('Bill Master List'!F5="Yes",'Bill Master List'!H5,"")</f>
        <v>5</v>
      </c>
      <c r="H78" s="19" t="str">
        <f>IF('Bill Master List'!F5="Yes",'Bill Master List'!I5,"")</f>
        <v>Lien risk after 30 days late</v>
      </c>
    </row>
    <row r="79" spans="1:8" x14ac:dyDescent="0.3">
      <c r="A79" s="20" t="str">
        <f>IF('Bill Master List'!F6="Yes",'Bill Master List'!A6,"")</f>
        <v>Storage 4</v>
      </c>
      <c r="B79" s="17">
        <f>IF('Bill Master List'!F6="Yes",'Bill Master List'!B6,"")</f>
        <v>98</v>
      </c>
      <c r="C79" s="20">
        <f>IF('Bill Master List'!F6="Yes",'Bill Master List'!C6,"")</f>
        <v>1</v>
      </c>
      <c r="D79" s="20" t="str">
        <f>IF('Bill Master List'!F6="Yes",'Bill Master List'!D6,"")</f>
        <v>Card2</v>
      </c>
      <c r="E79" s="64" t="str">
        <f>IF('Bill Master List'!F6="Yes",'Bill Master List'!E6,"")</f>
        <v>Housing</v>
      </c>
      <c r="F79" s="17">
        <f>IF('Bill Master List'!F6="Yes",'Bill Master List'!G6,"")</f>
        <v>20</v>
      </c>
      <c r="G79" s="64">
        <f>IF('Bill Master List'!F6="Yes",'Bill Master List'!H6,"")</f>
        <v>5</v>
      </c>
      <c r="H79" s="19" t="str">
        <f>IF('Bill Master List'!F6="Yes",'Bill Master List'!I6,"")</f>
        <v>Lien risk after 30 days late</v>
      </c>
    </row>
    <row r="80" spans="1:8" x14ac:dyDescent="0.3">
      <c r="A80" s="20" t="str">
        <f>IF('Bill Master List'!F7="Yes",'Bill Master List'!A7,"")</f>
        <v>Intuit</v>
      </c>
      <c r="B80" s="17">
        <f>IF('Bill Master List'!F7="Yes",'Bill Master List'!B7,"")</f>
        <v>75</v>
      </c>
      <c r="C80" s="20">
        <f>IF('Bill Master List'!F7="Yes",'Bill Master List'!C7,"")</f>
        <v>20</v>
      </c>
      <c r="D80" s="20" t="str">
        <f>IF('Bill Master List'!F7="Yes",'Bill Master List'!D7,"")</f>
        <v>Card2</v>
      </c>
      <c r="E80" s="64" t="str">
        <f>IF('Bill Master List'!F7="Yes",'Bill Master List'!E7,"")</f>
        <v>Utilities</v>
      </c>
      <c r="F80" s="17">
        <f>IF('Bill Master List'!F7="Yes",'Bill Master List'!G7,"")</f>
        <v>0</v>
      </c>
      <c r="G80" s="64">
        <f>IF('Bill Master List'!F7="Yes",'Bill Master List'!H7,"")</f>
        <v>0</v>
      </c>
      <c r="H80" s="19" t="str">
        <f>IF('Bill Master List'!F7="Yes",'Bill Master List'!I7,"")</f>
        <v>Service suspended if unpaid</v>
      </c>
    </row>
    <row r="81" spans="1:8" x14ac:dyDescent="0.3">
      <c r="A81" s="20" t="str">
        <f>IF('Bill Master List'!F8="Yes",'Bill Master List'!A8,"")</f>
        <v>Cell Phone</v>
      </c>
      <c r="B81" s="17">
        <f>IF('Bill Master List'!F8="Yes",'Bill Master List'!B8,"")</f>
        <v>80</v>
      </c>
      <c r="C81" s="20">
        <f>IF('Bill Master List'!F8="Yes",'Bill Master List'!C8,"")</f>
        <v>5</v>
      </c>
      <c r="D81" s="20" t="str">
        <f>IF('Bill Master List'!F8="Yes",'Bill Master List'!D8,"")</f>
        <v>Card3</v>
      </c>
      <c r="E81" s="64" t="str">
        <f>IF('Bill Master List'!F8="Yes",'Bill Master List'!E8,"")</f>
        <v>Phone</v>
      </c>
      <c r="F81" s="17">
        <f>IF('Bill Master List'!F8="Yes",'Bill Master List'!G8,"")</f>
        <v>25</v>
      </c>
      <c r="G81" s="64">
        <f>IF('Bill Master List'!F8="Yes",'Bill Master List'!H8,"")</f>
        <v>0</v>
      </c>
      <c r="H81" s="19" t="str">
        <f>IF('Bill Master List'!F8="Yes",'Bill Master List'!I8,"")</f>
        <v>Service disconnected after 30 days</v>
      </c>
    </row>
    <row r="82" spans="1:8" ht="28.8" customHeight="1" x14ac:dyDescent="0.3">
      <c r="A82" s="20" t="str">
        <f>IF('Bill Master List'!F9="Yes",'Bill Master List'!A9,"")</f>
        <v>Car Payment</v>
      </c>
      <c r="B82" s="17">
        <f>IF('Bill Master List'!F9="Yes",'Bill Master List'!B9,"")</f>
        <v>785</v>
      </c>
      <c r="C82" s="20">
        <f>IF('Bill Master List'!F9="Yes",'Bill Master List'!C9,"")</f>
        <v>24</v>
      </c>
      <c r="D82" s="20" t="str">
        <f>IF('Bill Master List'!F9="Yes",'Bill Master List'!D9,"")</f>
        <v>Card3</v>
      </c>
      <c r="E82" s="64" t="str">
        <f>IF('Bill Master List'!F9="Yes",'Bill Master List'!E9,"")</f>
        <v>Auto</v>
      </c>
      <c r="F82" s="17">
        <f>IF('Bill Master List'!F9="Yes",'Bill Master List'!G9,"")</f>
        <v>39</v>
      </c>
      <c r="G82" s="64">
        <f>IF('Bill Master List'!F9="Yes",'Bill Master List'!H9,"")</f>
        <v>10</v>
      </c>
      <c r="H82" s="19" t="str">
        <f>IF('Bill Master List'!F9="Yes",'Bill Master List'!I9,"")</f>
        <v>Repo risk after 60+ days. Hits credit report at 30 days.</v>
      </c>
    </row>
    <row r="83" spans="1:8" x14ac:dyDescent="0.3">
      <c r="A83" s="20" t="str">
        <f>IF('Bill Master List'!F10="Yes",'Bill Master List'!A10,"")</f>
        <v>Car Insurance</v>
      </c>
      <c r="B83" s="17">
        <f>IF('Bill Master List'!F10="Yes",'Bill Master List'!B10,"")</f>
        <v>0</v>
      </c>
      <c r="C83" s="20">
        <f>IF('Bill Master List'!F10="Yes",'Bill Master List'!C10,"")</f>
        <v>10</v>
      </c>
      <c r="D83" s="20" t="str">
        <f>IF('Bill Master List'!F10="Yes",'Bill Master List'!D10,"")</f>
        <v>Card1</v>
      </c>
      <c r="E83" s="64" t="str">
        <f>IF('Bill Master List'!F10="Yes",'Bill Master List'!E10,"")</f>
        <v>Auto</v>
      </c>
      <c r="F83" s="17">
        <f>IF('Bill Master List'!F10="Yes",'Bill Master List'!G10,"")</f>
        <v>25</v>
      </c>
      <c r="G83" s="64">
        <f>IF('Bill Master List'!F10="Yes",'Bill Master List'!H10,"")</f>
        <v>10</v>
      </c>
      <c r="H83" s="19" t="str">
        <f>IF('Bill Master List'!F10="Yes",'Bill Master List'!I10,"")</f>
        <v>Policy cancellation after lapse</v>
      </c>
    </row>
    <row r="84" spans="1:8" x14ac:dyDescent="0.3">
      <c r="A84" s="20" t="str">
        <f>IF('Bill Master List'!F11="Yes",'Bill Master List'!A11,"")</f>
        <v>Gas/Fuel</v>
      </c>
      <c r="B84" s="17">
        <f>IF('Bill Master List'!F11="Yes",'Bill Master List'!B11,"")</f>
        <v>200</v>
      </c>
      <c r="C84" s="20">
        <f>IF('Bill Master List'!F11="Yes",'Bill Master List'!C11,"")</f>
        <v>15</v>
      </c>
      <c r="D84" s="20" t="str">
        <f>IF('Bill Master List'!F11="Yes",'Bill Master List'!D11,"")</f>
        <v>Card4</v>
      </c>
      <c r="E84" s="64" t="str">
        <f>IF('Bill Master List'!F11="Yes",'Bill Master List'!E11,"")</f>
        <v>Auto</v>
      </c>
      <c r="F84" s="17">
        <f>IF('Bill Master List'!F11="Yes",'Bill Master List'!G11,"")</f>
        <v>0</v>
      </c>
      <c r="G84" s="64">
        <f>IF('Bill Master List'!F11="Yes",'Bill Master List'!H11,"")</f>
        <v>0</v>
      </c>
      <c r="H84" s="19" t="str">
        <f>IF('Bill Master List'!F11="Yes",'Bill Master List'!I11,"")</f>
        <v>Variable expense - no late fee</v>
      </c>
    </row>
    <row r="85" spans="1:8" x14ac:dyDescent="0.3">
      <c r="A85" s="20" t="str">
        <f>IF('Bill Master List'!F12="Yes",'Bill Master List'!A12,"")</f>
        <v>Groceries</v>
      </c>
      <c r="B85" s="17">
        <f>IF('Bill Master List'!F12="Yes",'Bill Master List'!B12,"")</f>
        <v>400</v>
      </c>
      <c r="C85" s="20">
        <f>IF('Bill Master List'!F12="Yes",'Bill Master List'!C12,"")</f>
        <v>1</v>
      </c>
      <c r="D85" s="20" t="str">
        <f>IF('Bill Master List'!F12="Yes",'Bill Master List'!D12,"")</f>
        <v>Card3</v>
      </c>
      <c r="E85" s="64" t="str">
        <f>IF('Bill Master List'!F12="Yes",'Bill Master List'!E12,"")</f>
        <v>Health</v>
      </c>
      <c r="F85" s="17">
        <f>IF('Bill Master List'!F12="Yes",'Bill Master List'!G12,"")</f>
        <v>0</v>
      </c>
      <c r="G85" s="64">
        <f>IF('Bill Master List'!F12="Yes",'Bill Master List'!H12,"")</f>
        <v>0</v>
      </c>
      <c r="H85" s="19" t="str">
        <f>IF('Bill Master List'!F12="Yes",'Bill Master List'!I12,"")</f>
        <v>Variable expense - no late fee</v>
      </c>
    </row>
    <row r="86" spans="1:8" x14ac:dyDescent="0.3">
      <c r="A86" s="20" t="str">
        <f>IF('Bill Master List'!F13="Yes",'Bill Master List'!A13,"")</f>
        <v>Klarna</v>
      </c>
      <c r="B86" s="17">
        <f>IF('Bill Master List'!F13="Yes",'Bill Master List'!B13,"")</f>
        <v>45</v>
      </c>
      <c r="C86" s="20">
        <f>IF('Bill Master List'!F13="Yes",'Bill Master List'!C13,"")</f>
        <v>15</v>
      </c>
      <c r="D86" s="20" t="str">
        <f>IF('Bill Master List'!F13="Yes",'Bill Master List'!D13,"")</f>
        <v>Card2</v>
      </c>
      <c r="E86" s="64" t="str">
        <f>IF('Bill Master List'!F13="Yes",'Bill Master List'!E13,"")</f>
        <v>Entertainment</v>
      </c>
      <c r="F86" s="17">
        <f>IF('Bill Master List'!F13="Yes",'Bill Master List'!G13,"")</f>
        <v>25</v>
      </c>
      <c r="G86" s="64">
        <f>IF('Bill Master List'!F13="Yes",'Bill Master List'!H13,"")</f>
        <v>0</v>
      </c>
      <c r="H86" s="19" t="str">
        <f>IF('Bill Master List'!F13="Yes",'Bill Master List'!I13,"")</f>
        <v>Hits credit after 30 days late</v>
      </c>
    </row>
    <row r="87" spans="1:8" x14ac:dyDescent="0.3">
      <c r="A87" s="20" t="str">
        <f>IF('Bill Master List'!F14="Yes",'Bill Master List'!A14,"")</f>
        <v>Affirm</v>
      </c>
      <c r="B87" s="17">
        <f>IF('Bill Master List'!F14="Yes",'Bill Master List'!B14,"")</f>
        <v>30</v>
      </c>
      <c r="C87" s="20">
        <f>IF('Bill Master List'!F14="Yes",'Bill Master List'!C14,"")</f>
        <v>20</v>
      </c>
      <c r="D87" s="20" t="str">
        <f>IF('Bill Master List'!F14="Yes",'Bill Master List'!D14,"")</f>
        <v>Card5</v>
      </c>
      <c r="E87" s="64" t="str">
        <f>IF('Bill Master List'!F14="Yes",'Bill Master List'!E14,"")</f>
        <v>Food</v>
      </c>
      <c r="F87" s="17">
        <f>IF('Bill Master List'!F14="Yes",'Bill Master List'!G14,"")</f>
        <v>0</v>
      </c>
      <c r="G87" s="64">
        <f>IF('Bill Master List'!F14="Yes",'Bill Master List'!H14,"")</f>
        <v>0</v>
      </c>
      <c r="H87" s="19" t="str">
        <f>IF('Bill Master List'!F14="Yes",'Bill Master List'!I14,"")</f>
        <v>No late fee but hits credit at 30 days</v>
      </c>
    </row>
    <row r="88" spans="1:8" ht="28.8" customHeight="1" x14ac:dyDescent="0.3">
      <c r="A88" s="20" t="str">
        <f>IF('Bill Master List'!F15="Yes",'Bill Master List'!A15,"")</f>
        <v>NTTA</v>
      </c>
      <c r="B88" s="17">
        <f>IF('Bill Master List'!F15="Yes",'Bill Master List'!B15,"")</f>
        <v>600</v>
      </c>
      <c r="C88" s="20">
        <f>IF('Bill Master List'!F15="Yes",'Bill Master List'!C15,"")</f>
        <v>15</v>
      </c>
      <c r="D88" s="20" t="str">
        <f>IF('Bill Master List'!F15="Yes",'Bill Master List'!D15,"")</f>
        <v>Card5</v>
      </c>
      <c r="E88" s="64" t="str">
        <f>IF('Bill Master List'!F15="Yes",'Bill Master List'!E15,"")</f>
        <v>Auto</v>
      </c>
      <c r="F88" s="17">
        <f>IF('Bill Master List'!F15="Yes",'Bill Master List'!G15,"")</f>
        <v>25</v>
      </c>
      <c r="G88" s="64">
        <f>IF('Bill Master List'!F15="Yes",'Bill Master List'!H15,"")</f>
        <v>30</v>
      </c>
      <c r="H88" s="19" t="str">
        <f>IF('Bill Master List'!F15="Yes",'Bill Master List'!I15,"")</f>
        <v>Can block vehicle registration. TxTag balance required.</v>
      </c>
    </row>
    <row r="89" spans="1:8" x14ac:dyDescent="0.3">
      <c r="A89" s="20" t="str">
        <f>IF('Bill Master List'!F16="Yes",'Bill Master List'!A16,"")</f>
        <v/>
      </c>
      <c r="B89" s="17" t="str">
        <f>IF('Bill Master List'!F16="Yes",'Bill Master List'!B16,"")</f>
        <v/>
      </c>
      <c r="C89" s="20" t="str">
        <f>IF('Bill Master List'!F16="Yes",'Bill Master List'!C16,"")</f>
        <v/>
      </c>
      <c r="D89" s="20" t="str">
        <f>IF('Bill Master List'!F16="Yes",'Bill Master List'!D16,"")</f>
        <v/>
      </c>
      <c r="E89" s="64" t="str">
        <f>IF('Bill Master List'!F16="Yes",'Bill Master List'!E16,"")</f>
        <v/>
      </c>
      <c r="F89" s="17" t="str">
        <f>IF('Bill Master List'!F16="Yes",'Bill Master List'!G16,"")</f>
        <v/>
      </c>
      <c r="G89" s="64" t="str">
        <f>IF('Bill Master List'!F16="Yes",'Bill Master List'!H16,"")</f>
        <v/>
      </c>
      <c r="H89" s="19" t="str">
        <f>IF('Bill Master List'!F16="Yes",'Bill Master List'!I16,"")</f>
        <v/>
      </c>
    </row>
    <row r="90" spans="1:8" x14ac:dyDescent="0.3">
      <c r="A90" s="20" t="str">
        <f>IF('Bill Master List'!F17="Yes",'Bill Master List'!A17,"")</f>
        <v/>
      </c>
      <c r="B90" s="17" t="str">
        <f>IF('Bill Master List'!F17="Yes",'Bill Master List'!B17,"")</f>
        <v/>
      </c>
      <c r="C90" s="20" t="str">
        <f>IF('Bill Master List'!F17="Yes",'Bill Master List'!C17,"")</f>
        <v/>
      </c>
      <c r="D90" s="20" t="str">
        <f>IF('Bill Master List'!F17="Yes",'Bill Master List'!D17,"")</f>
        <v/>
      </c>
      <c r="E90" s="64" t="str">
        <f>IF('Bill Master List'!F17="Yes",'Bill Master List'!E17,"")</f>
        <v/>
      </c>
      <c r="F90" s="17" t="str">
        <f>IF('Bill Master List'!F17="Yes",'Bill Master List'!G17,"")</f>
        <v/>
      </c>
      <c r="G90" s="64" t="str">
        <f>IF('Bill Master List'!F17="Yes",'Bill Master List'!H17,"")</f>
        <v/>
      </c>
      <c r="H90" s="19" t="str">
        <f>IF('Bill Master List'!F17="Yes",'Bill Master List'!I17,"")</f>
        <v/>
      </c>
    </row>
    <row r="91" spans="1:8" x14ac:dyDescent="0.3">
      <c r="A91" s="20" t="str">
        <f>IF('Bill Master List'!F18="Yes",'Bill Master List'!A18,"")</f>
        <v/>
      </c>
      <c r="B91" s="17" t="str">
        <f>IF('Bill Master List'!F18="Yes",'Bill Master List'!B18,"")</f>
        <v/>
      </c>
      <c r="C91" s="20" t="str">
        <f>IF('Bill Master List'!F18="Yes",'Bill Master List'!C18,"")</f>
        <v/>
      </c>
      <c r="D91" s="20" t="str">
        <f>IF('Bill Master List'!F18="Yes",'Bill Master List'!D18,"")</f>
        <v/>
      </c>
      <c r="E91" s="64" t="str">
        <f>IF('Bill Master List'!F18="Yes",'Bill Master List'!E18,"")</f>
        <v/>
      </c>
      <c r="F91" s="17" t="str">
        <f>IF('Bill Master List'!F18="Yes",'Bill Master List'!G18,"")</f>
        <v/>
      </c>
      <c r="G91" s="64" t="str">
        <f>IF('Bill Master List'!F18="Yes",'Bill Master List'!H18,"")</f>
        <v/>
      </c>
      <c r="H91" s="19" t="str">
        <f>IF('Bill Master List'!F18="Yes",'Bill Master List'!I18,"")</f>
        <v/>
      </c>
    </row>
    <row r="92" spans="1:8" x14ac:dyDescent="0.3">
      <c r="A92" s="20" t="str">
        <f>IF('Bill Master List'!F19="Yes",'Bill Master List'!A19,"")</f>
        <v/>
      </c>
      <c r="B92" s="17" t="str">
        <f>IF('Bill Master List'!F19="Yes",'Bill Master List'!B19,"")</f>
        <v/>
      </c>
      <c r="C92" s="20" t="str">
        <f>IF('Bill Master List'!F19="Yes",'Bill Master List'!C19,"")</f>
        <v/>
      </c>
      <c r="D92" s="20" t="str">
        <f>IF('Bill Master List'!F19="Yes",'Bill Master List'!D19,"")</f>
        <v/>
      </c>
      <c r="E92" s="64" t="str">
        <f>IF('Bill Master List'!F19="Yes",'Bill Master List'!E19,"")</f>
        <v/>
      </c>
      <c r="F92" s="17" t="str">
        <f>IF('Bill Master List'!F19="Yes",'Bill Master List'!G19,"")</f>
        <v/>
      </c>
      <c r="G92" s="64" t="str">
        <f>IF('Bill Master List'!F19="Yes",'Bill Master List'!H19,"")</f>
        <v/>
      </c>
      <c r="H92" s="19" t="str">
        <f>IF('Bill Master List'!F19="Yes",'Bill Master List'!I19,"")</f>
        <v/>
      </c>
    </row>
    <row r="93" spans="1:8" x14ac:dyDescent="0.3">
      <c r="A93" s="20" t="str">
        <f>IF('Bill Master List'!F20="Yes",'Bill Master List'!A20,"")</f>
        <v/>
      </c>
      <c r="B93" s="17" t="str">
        <f>IF('Bill Master List'!F20="Yes",'Bill Master List'!B20,"")</f>
        <v/>
      </c>
      <c r="C93" s="20" t="str">
        <f>IF('Bill Master List'!F20="Yes",'Bill Master List'!C20,"")</f>
        <v/>
      </c>
      <c r="D93" s="20" t="str">
        <f>IF('Bill Master List'!F20="Yes",'Bill Master List'!D20,"")</f>
        <v/>
      </c>
      <c r="E93" s="64" t="str">
        <f>IF('Bill Master List'!F20="Yes",'Bill Master List'!E20,"")</f>
        <v/>
      </c>
      <c r="F93" s="17" t="str">
        <f>IF('Bill Master List'!F20="Yes",'Bill Master List'!G20,"")</f>
        <v/>
      </c>
      <c r="G93" s="64" t="str">
        <f>IF('Bill Master List'!F20="Yes",'Bill Master List'!H20,"")</f>
        <v/>
      </c>
      <c r="H93" s="19" t="str">
        <f>IF('Bill Master List'!F20="Yes",'Bill Master List'!I20,"")</f>
        <v/>
      </c>
    </row>
    <row r="94" spans="1:8" x14ac:dyDescent="0.3">
      <c r="A94" s="20" t="str">
        <f>IF('Bill Master List'!F21="Yes",'Bill Master List'!A21,"")</f>
        <v/>
      </c>
      <c r="B94" s="17" t="str">
        <f>IF('Bill Master List'!F21="Yes",'Bill Master List'!B21,"")</f>
        <v/>
      </c>
      <c r="C94" s="20" t="str">
        <f>IF('Bill Master List'!F21="Yes",'Bill Master List'!C21,"")</f>
        <v/>
      </c>
      <c r="D94" s="20" t="str">
        <f>IF('Bill Master List'!F21="Yes",'Bill Master List'!D21,"")</f>
        <v/>
      </c>
      <c r="E94" s="64" t="str">
        <f>IF('Bill Master List'!F21="Yes",'Bill Master List'!E21,"")</f>
        <v/>
      </c>
      <c r="F94" s="17" t="str">
        <f>IF('Bill Master List'!F21="Yes",'Bill Master List'!G21,"")</f>
        <v/>
      </c>
      <c r="G94" s="64" t="str">
        <f>IF('Bill Master List'!F21="Yes",'Bill Master List'!H21,"")</f>
        <v/>
      </c>
      <c r="H94" s="19" t="str">
        <f>IF('Bill Master List'!F21="Yes",'Bill Master List'!I21,"")</f>
        <v/>
      </c>
    </row>
    <row r="95" spans="1:8" x14ac:dyDescent="0.3">
      <c r="A95" s="20" t="str">
        <f>IF('Bill Master List'!F22="Yes",'Bill Master List'!A22,"")</f>
        <v/>
      </c>
      <c r="B95" s="17" t="str">
        <f>IF('Bill Master List'!F22="Yes",'Bill Master List'!B22,"")</f>
        <v/>
      </c>
      <c r="C95" s="20" t="str">
        <f>IF('Bill Master List'!F22="Yes",'Bill Master List'!C22,"")</f>
        <v/>
      </c>
      <c r="D95" s="20" t="str">
        <f>IF('Bill Master List'!F22="Yes",'Bill Master List'!D22,"")</f>
        <v/>
      </c>
      <c r="E95" s="64" t="str">
        <f>IF('Bill Master List'!F22="Yes",'Bill Master List'!E22,"")</f>
        <v/>
      </c>
      <c r="F95" s="17" t="str">
        <f>IF('Bill Master List'!F22="Yes",'Bill Master List'!G22,"")</f>
        <v/>
      </c>
      <c r="G95" s="64" t="str">
        <f>IF('Bill Master List'!F22="Yes",'Bill Master List'!H22,"")</f>
        <v/>
      </c>
      <c r="H95" s="19" t="str">
        <f>IF('Bill Master List'!F22="Yes",'Bill Master List'!I22,"")</f>
        <v/>
      </c>
    </row>
    <row r="96" spans="1:8" x14ac:dyDescent="0.3">
      <c r="A96" s="20" t="str">
        <f>IF('Bill Master List'!F23="Yes",'Bill Master List'!A23,"")</f>
        <v/>
      </c>
      <c r="B96" s="17" t="str">
        <f>IF('Bill Master List'!F23="Yes",'Bill Master List'!B23,"")</f>
        <v/>
      </c>
      <c r="C96" s="20" t="str">
        <f>IF('Bill Master List'!F23="Yes",'Bill Master List'!C23,"")</f>
        <v/>
      </c>
      <c r="D96" s="20" t="str">
        <f>IF('Bill Master List'!F23="Yes",'Bill Master List'!D23,"")</f>
        <v/>
      </c>
      <c r="E96" s="64" t="str">
        <f>IF('Bill Master List'!F23="Yes",'Bill Master List'!E23,"")</f>
        <v/>
      </c>
      <c r="F96" s="17" t="str">
        <f>IF('Bill Master List'!F23="Yes",'Bill Master List'!G23,"")</f>
        <v/>
      </c>
      <c r="G96" s="64" t="str">
        <f>IF('Bill Master List'!F23="Yes",'Bill Master List'!H23,"")</f>
        <v/>
      </c>
      <c r="H96" s="19" t="str">
        <f>IF('Bill Master List'!F23="Yes",'Bill Master List'!I23,"")</f>
        <v/>
      </c>
    </row>
    <row r="97" spans="1:8" x14ac:dyDescent="0.3">
      <c r="A97" s="20" t="str">
        <f>IF('Bill Master List'!F24="Yes",'Bill Master List'!A24,"")</f>
        <v/>
      </c>
      <c r="B97" s="17" t="str">
        <f>IF('Bill Master List'!F24="Yes",'Bill Master List'!B24,"")</f>
        <v/>
      </c>
      <c r="C97" s="20" t="str">
        <f>IF('Bill Master List'!F24="Yes",'Bill Master List'!C24,"")</f>
        <v/>
      </c>
      <c r="D97" s="20" t="str">
        <f>IF('Bill Master List'!F24="Yes",'Bill Master List'!D24,"")</f>
        <v/>
      </c>
      <c r="E97" s="64" t="str">
        <f>IF('Bill Master List'!F24="Yes",'Bill Master List'!E24,"")</f>
        <v/>
      </c>
      <c r="F97" s="17" t="str">
        <f>IF('Bill Master List'!F24="Yes",'Bill Master List'!G24,"")</f>
        <v/>
      </c>
      <c r="G97" s="64" t="str">
        <f>IF('Bill Master List'!F24="Yes",'Bill Master List'!H24,"")</f>
        <v/>
      </c>
      <c r="H97" s="19" t="str">
        <f>IF('Bill Master List'!F24="Yes",'Bill Master List'!I24,"")</f>
        <v/>
      </c>
    </row>
    <row r="98" spans="1:8" x14ac:dyDescent="0.3">
      <c r="A98" s="20" t="str">
        <f>IF('Bill Master List'!F25="Yes",'Bill Master List'!A25,"")</f>
        <v/>
      </c>
      <c r="B98" s="17" t="str">
        <f>IF('Bill Master List'!F25="Yes",'Bill Master List'!B25,"")</f>
        <v/>
      </c>
      <c r="C98" s="20" t="str">
        <f>IF('Bill Master List'!F25="Yes",'Bill Master List'!C25,"")</f>
        <v/>
      </c>
      <c r="D98" s="20" t="str">
        <f>IF('Bill Master List'!F25="Yes",'Bill Master List'!D25,"")</f>
        <v/>
      </c>
      <c r="E98" s="64" t="str">
        <f>IF('Bill Master List'!F25="Yes",'Bill Master List'!E25,"")</f>
        <v/>
      </c>
      <c r="F98" s="17" t="str">
        <f>IF('Bill Master List'!F25="Yes",'Bill Master List'!G25,"")</f>
        <v/>
      </c>
      <c r="G98" s="64" t="str">
        <f>IF('Bill Master List'!F25="Yes",'Bill Master List'!H25,"")</f>
        <v/>
      </c>
      <c r="H98" s="19" t="str">
        <f>IF('Bill Master List'!F25="Yes",'Bill Master List'!I25,"")</f>
        <v/>
      </c>
    </row>
    <row r="99" spans="1:8" x14ac:dyDescent="0.3">
      <c r="A99" s="20" t="str">
        <f>IF('Bill Master List'!F26="Yes",'Bill Master List'!A26,"")</f>
        <v/>
      </c>
      <c r="B99" s="17" t="str">
        <f>IF('Bill Master List'!F26="Yes",'Bill Master List'!B26,"")</f>
        <v/>
      </c>
      <c r="C99" s="20" t="str">
        <f>IF('Bill Master List'!F26="Yes",'Bill Master List'!C26,"")</f>
        <v/>
      </c>
      <c r="D99" s="20" t="str">
        <f>IF('Bill Master List'!F26="Yes",'Bill Master List'!D26,"")</f>
        <v/>
      </c>
      <c r="E99" s="64" t="str">
        <f>IF('Bill Master List'!F26="Yes",'Bill Master List'!E26,"")</f>
        <v/>
      </c>
      <c r="F99" s="17" t="str">
        <f>IF('Bill Master List'!F26="Yes",'Bill Master List'!G26,"")</f>
        <v/>
      </c>
      <c r="G99" s="64" t="str">
        <f>IF('Bill Master List'!F26="Yes",'Bill Master List'!H26,"")</f>
        <v/>
      </c>
      <c r="H99" s="19" t="str">
        <f>IF('Bill Master List'!F26="Yes",'Bill Master List'!I26,"")</f>
        <v/>
      </c>
    </row>
    <row r="100" spans="1:8" x14ac:dyDescent="0.3">
      <c r="A100" s="20" t="str">
        <f>IF('Bill Master List'!F27="Yes",'Bill Master List'!A27,"")</f>
        <v/>
      </c>
      <c r="B100" s="17" t="str">
        <f>IF('Bill Master List'!F27="Yes",'Bill Master List'!B27,"")</f>
        <v/>
      </c>
      <c r="C100" s="20" t="str">
        <f>IF('Bill Master List'!F27="Yes",'Bill Master List'!C27,"")</f>
        <v/>
      </c>
      <c r="D100" s="20" t="str">
        <f>IF('Bill Master List'!F27="Yes",'Bill Master List'!D27,"")</f>
        <v/>
      </c>
      <c r="E100" s="64" t="str">
        <f>IF('Bill Master List'!F27="Yes",'Bill Master List'!E27,"")</f>
        <v/>
      </c>
      <c r="F100" s="17" t="str">
        <f>IF('Bill Master List'!F27="Yes",'Bill Master List'!G27,"")</f>
        <v/>
      </c>
      <c r="G100" s="64" t="str">
        <f>IF('Bill Master List'!F27="Yes",'Bill Master List'!H27,"")</f>
        <v/>
      </c>
      <c r="H100" s="19" t="str">
        <f>IF('Bill Master List'!F27="Yes",'Bill Master List'!I27,"")</f>
        <v/>
      </c>
    </row>
    <row r="101" spans="1:8" x14ac:dyDescent="0.3">
      <c r="A101" s="20" t="str">
        <f>IF('Bill Master List'!F28="Yes",'Bill Master List'!A28,"")</f>
        <v/>
      </c>
      <c r="B101" s="17" t="str">
        <f>IF('Bill Master List'!F28="Yes",'Bill Master List'!B28,"")</f>
        <v/>
      </c>
      <c r="C101" s="20" t="str">
        <f>IF('Bill Master List'!F28="Yes",'Bill Master List'!C28,"")</f>
        <v/>
      </c>
      <c r="D101" s="20" t="str">
        <f>IF('Bill Master List'!F28="Yes",'Bill Master List'!D28,"")</f>
        <v/>
      </c>
      <c r="E101" s="64" t="str">
        <f>IF('Bill Master List'!F28="Yes",'Bill Master List'!E28,"")</f>
        <v/>
      </c>
      <c r="F101" s="17" t="str">
        <f>IF('Bill Master List'!F28="Yes",'Bill Master List'!G28,"")</f>
        <v/>
      </c>
      <c r="G101" s="64" t="str">
        <f>IF('Bill Master List'!F28="Yes",'Bill Master List'!H28,"")</f>
        <v/>
      </c>
      <c r="H101" s="19" t="str">
        <f>IF('Bill Master List'!F28="Yes",'Bill Master List'!I28,"")</f>
        <v/>
      </c>
    </row>
    <row r="102" spans="1:8" x14ac:dyDescent="0.3">
      <c r="A102" s="20" t="str">
        <f>IF('Bill Master List'!F29="Yes",'Bill Master List'!A29,"")</f>
        <v/>
      </c>
      <c r="B102" s="17" t="str">
        <f>IF('Bill Master List'!F29="Yes",'Bill Master List'!B29,"")</f>
        <v/>
      </c>
      <c r="C102" s="20" t="str">
        <f>IF('Bill Master List'!F29="Yes",'Bill Master List'!C29,"")</f>
        <v/>
      </c>
      <c r="D102" s="20" t="str">
        <f>IF('Bill Master List'!F29="Yes",'Bill Master List'!D29,"")</f>
        <v/>
      </c>
      <c r="E102" s="64" t="str">
        <f>IF('Bill Master List'!F29="Yes",'Bill Master List'!E29,"")</f>
        <v/>
      </c>
      <c r="F102" s="17" t="str">
        <f>IF('Bill Master List'!F29="Yes",'Bill Master List'!G29,"")</f>
        <v/>
      </c>
      <c r="G102" s="64" t="str">
        <f>IF('Bill Master List'!F29="Yes",'Bill Master List'!H29,"")</f>
        <v/>
      </c>
      <c r="H102" s="19" t="str">
        <f>IF('Bill Master List'!F29="Yes",'Bill Master List'!I29,"")</f>
        <v/>
      </c>
    </row>
    <row r="103" spans="1:8" x14ac:dyDescent="0.3">
      <c r="A103" s="20" t="str">
        <f>IF('Bill Master List'!F30="Yes",'Bill Master List'!A30,"")</f>
        <v/>
      </c>
      <c r="B103" s="17" t="str">
        <f>IF('Bill Master List'!F30="Yes",'Bill Master List'!B30,"")</f>
        <v/>
      </c>
      <c r="C103" s="20" t="str">
        <f>IF('Bill Master List'!F30="Yes",'Bill Master List'!C30,"")</f>
        <v/>
      </c>
      <c r="D103" s="20" t="str">
        <f>IF('Bill Master List'!F30="Yes",'Bill Master List'!D30,"")</f>
        <v/>
      </c>
      <c r="E103" s="64" t="str">
        <f>IF('Bill Master List'!F30="Yes",'Bill Master List'!E30,"")</f>
        <v/>
      </c>
      <c r="F103" s="17" t="str">
        <f>IF('Bill Master List'!F30="Yes",'Bill Master List'!G30,"")</f>
        <v/>
      </c>
      <c r="G103" s="64" t="str">
        <f>IF('Bill Master List'!F30="Yes",'Bill Master List'!H30,"")</f>
        <v/>
      </c>
      <c r="H103" s="19" t="str">
        <f>IF('Bill Master List'!F30="Yes",'Bill Master List'!I30,"")</f>
        <v/>
      </c>
    </row>
    <row r="104" spans="1:8" x14ac:dyDescent="0.3">
      <c r="A104" s="20" t="str">
        <f>IF('Bill Master List'!F31="Yes",'Bill Master List'!A31,"")</f>
        <v/>
      </c>
      <c r="B104" s="17" t="str">
        <f>IF('Bill Master List'!F31="Yes",'Bill Master List'!B31,"")</f>
        <v/>
      </c>
      <c r="C104" s="20" t="str">
        <f>IF('Bill Master List'!F31="Yes",'Bill Master List'!C31,"")</f>
        <v/>
      </c>
      <c r="D104" s="20" t="str">
        <f>IF('Bill Master List'!F31="Yes",'Bill Master List'!D31,"")</f>
        <v/>
      </c>
      <c r="E104" s="64" t="str">
        <f>IF('Bill Master List'!F31="Yes",'Bill Master List'!E31,"")</f>
        <v/>
      </c>
      <c r="F104" s="17" t="str">
        <f>IF('Bill Master List'!F31="Yes",'Bill Master List'!G31,"")</f>
        <v/>
      </c>
      <c r="G104" s="64" t="str">
        <f>IF('Bill Master List'!F31="Yes",'Bill Master List'!H31,"")</f>
        <v/>
      </c>
      <c r="H104" s="19" t="str">
        <f>IF('Bill Master List'!F31="Yes",'Bill Master List'!I31,"")</f>
        <v/>
      </c>
    </row>
    <row r="105" spans="1:8" x14ac:dyDescent="0.3">
      <c r="A105" s="20" t="str">
        <f>IF('Bill Master List'!F32="Yes",'Bill Master List'!A32,"")</f>
        <v/>
      </c>
      <c r="B105" s="17" t="str">
        <f>IF('Bill Master List'!F32="Yes",'Bill Master List'!B32,"")</f>
        <v/>
      </c>
      <c r="C105" s="20" t="str">
        <f>IF('Bill Master List'!F32="Yes",'Bill Master List'!C32,"")</f>
        <v/>
      </c>
      <c r="D105" s="20" t="str">
        <f>IF('Bill Master List'!F32="Yes",'Bill Master List'!D32,"")</f>
        <v/>
      </c>
      <c r="E105" s="64" t="str">
        <f>IF('Bill Master List'!F32="Yes",'Bill Master List'!E32,"")</f>
        <v/>
      </c>
      <c r="F105" s="17" t="str">
        <f>IF('Bill Master List'!F32="Yes",'Bill Master List'!G32,"")</f>
        <v/>
      </c>
      <c r="G105" s="64" t="str">
        <f>IF('Bill Master List'!F32="Yes",'Bill Master List'!H32,"")</f>
        <v/>
      </c>
      <c r="H105" s="19" t="str">
        <f>IF('Bill Master List'!F32="Yes",'Bill Master List'!I32,"")</f>
        <v/>
      </c>
    </row>
    <row r="106" spans="1:8" x14ac:dyDescent="0.3">
      <c r="A106" s="22" t="s">
        <v>172</v>
      </c>
      <c r="B106" s="23" t="s">
        <v>173</v>
      </c>
      <c r="C106" s="23" t="s">
        <v>174</v>
      </c>
      <c r="D106" s="23" t="s">
        <v>175</v>
      </c>
      <c r="E106" s="68" t="s">
        <v>176</v>
      </c>
      <c r="F106" s="23" t="s">
        <v>177</v>
      </c>
      <c r="G106" s="65" t="s">
        <v>178</v>
      </c>
      <c r="H106" s="24" t="s">
        <v>179</v>
      </c>
    </row>
    <row r="107" spans="1:8" x14ac:dyDescent="0.3">
      <c r="B107" s="25">
        <f>SUMIF(D76:D105,"Card1",B76:B105)</f>
        <v>587</v>
      </c>
      <c r="C107" s="25">
        <f>SUMIF(D76:D105,"Card2",B76:B105)</f>
        <v>398</v>
      </c>
      <c r="D107" s="25">
        <f>SUMIF(D76:D105,"Card3",B76:B105)</f>
        <v>1265</v>
      </c>
      <c r="E107" s="69">
        <f>SUMIF(D76:D105,"Card4",B76:B105)</f>
        <v>200</v>
      </c>
      <c r="F107" s="25">
        <f>SUMIF(D76:D105,"Card5",B76:B105)</f>
        <v>630</v>
      </c>
      <c r="G107" s="66">
        <f>SUM(B76:B105)</f>
        <v>3080</v>
      </c>
      <c r="H107" s="26">
        <f>SUM(F76:F105)</f>
        <v>249</v>
      </c>
    </row>
    <row r="109" spans="1:8" ht="15.6" customHeight="1" x14ac:dyDescent="0.3">
      <c r="A109" s="98" t="s">
        <v>182</v>
      </c>
      <c r="B109" s="86"/>
      <c r="C109" s="86"/>
      <c r="D109" s="86"/>
      <c r="E109" s="97"/>
      <c r="F109" s="86"/>
      <c r="G109" s="97"/>
      <c r="H109" s="86"/>
    </row>
    <row r="110" spans="1:8" x14ac:dyDescent="0.3">
      <c r="A110" s="21" t="s">
        <v>130</v>
      </c>
      <c r="B110" s="21" t="s">
        <v>131</v>
      </c>
      <c r="C110" s="21" t="s">
        <v>96</v>
      </c>
      <c r="D110" s="21" t="s">
        <v>170</v>
      </c>
      <c r="E110" s="63" t="s">
        <v>133</v>
      </c>
      <c r="F110" s="21" t="s">
        <v>134</v>
      </c>
      <c r="G110" s="63" t="s">
        <v>171</v>
      </c>
      <c r="H110" s="21" t="s">
        <v>136</v>
      </c>
    </row>
    <row r="111" spans="1:8" x14ac:dyDescent="0.3">
      <c r="A111" s="20" t="str">
        <f>IF('Bill Master List'!F3="Yes",'Bill Master List'!A3,"")</f>
        <v>Storage 1</v>
      </c>
      <c r="B111" s="17">
        <f>IF('Bill Master List'!F3="Yes",'Bill Master List'!B3,"")</f>
        <v>478</v>
      </c>
      <c r="C111" s="20">
        <f>IF('Bill Master List'!F3="Yes",'Bill Master List'!C3,"")</f>
        <v>1</v>
      </c>
      <c r="D111" s="20" t="str">
        <f>IF('Bill Master List'!F3="Yes",'Bill Master List'!D3,"")</f>
        <v>Card1</v>
      </c>
      <c r="E111" s="64" t="str">
        <f>IF('Bill Master List'!F3="Yes",'Bill Master List'!E3,"")</f>
        <v>Housing</v>
      </c>
      <c r="F111" s="17">
        <f>IF('Bill Master List'!F3="Yes",'Bill Master List'!G3,"")</f>
        <v>40</v>
      </c>
      <c r="G111" s="64">
        <f>IF('Bill Master List'!F3="Yes",'Bill Master List'!H3,"")</f>
        <v>5</v>
      </c>
      <c r="H111" s="19" t="str">
        <f>IF('Bill Master List'!F3="Yes",'Bill Master List'!I3,"")</f>
        <v>Lien risk after 30 days late</v>
      </c>
    </row>
    <row r="112" spans="1:8" x14ac:dyDescent="0.3">
      <c r="A112" s="20" t="str">
        <f>IF('Bill Master List'!F4="Yes",'Bill Master List'!A4,"")</f>
        <v>Storage 2</v>
      </c>
      <c r="B112" s="17">
        <f>IF('Bill Master List'!F4="Yes",'Bill Master List'!B4,"")</f>
        <v>109</v>
      </c>
      <c r="C112" s="20">
        <f>IF('Bill Master List'!F4="Yes",'Bill Master List'!C4,"")</f>
        <v>1</v>
      </c>
      <c r="D112" s="20" t="str">
        <f>IF('Bill Master List'!F4="Yes",'Bill Master List'!D4,"")</f>
        <v>Card1</v>
      </c>
      <c r="E112" s="64" t="str">
        <f>IF('Bill Master List'!F4="Yes",'Bill Master List'!E4,"")</f>
        <v>Housing</v>
      </c>
      <c r="F112" s="17">
        <f>IF('Bill Master List'!F4="Yes",'Bill Master List'!G4,"")</f>
        <v>25</v>
      </c>
      <c r="G112" s="64">
        <f>IF('Bill Master List'!F4="Yes",'Bill Master List'!H4,"")</f>
        <v>5</v>
      </c>
      <c r="H112" s="19" t="str">
        <f>IF('Bill Master List'!F4="Yes",'Bill Master List'!I4,"")</f>
        <v>Lien risk after 30 days late</v>
      </c>
    </row>
    <row r="113" spans="1:8" x14ac:dyDescent="0.3">
      <c r="A113" s="20" t="str">
        <f>IF('Bill Master List'!F5="Yes",'Bill Master List'!A5,"")</f>
        <v>Storage 3</v>
      </c>
      <c r="B113" s="17">
        <f>IF('Bill Master List'!F5="Yes",'Bill Master List'!B5,"")</f>
        <v>180</v>
      </c>
      <c r="C113" s="20">
        <f>IF('Bill Master List'!F5="Yes",'Bill Master List'!C5,"")</f>
        <v>1</v>
      </c>
      <c r="D113" s="20" t="str">
        <f>IF('Bill Master List'!F5="Yes",'Bill Master List'!D5,"")</f>
        <v>Card2</v>
      </c>
      <c r="E113" s="64" t="str">
        <f>IF('Bill Master List'!F5="Yes",'Bill Master List'!E5,"")</f>
        <v>Housing</v>
      </c>
      <c r="F113" s="17">
        <f>IF('Bill Master List'!F5="Yes",'Bill Master List'!G5,"")</f>
        <v>25</v>
      </c>
      <c r="G113" s="64">
        <f>IF('Bill Master List'!F5="Yes",'Bill Master List'!H5,"")</f>
        <v>5</v>
      </c>
      <c r="H113" s="19" t="str">
        <f>IF('Bill Master List'!F5="Yes",'Bill Master List'!I5,"")</f>
        <v>Lien risk after 30 days late</v>
      </c>
    </row>
    <row r="114" spans="1:8" x14ac:dyDescent="0.3">
      <c r="A114" s="20" t="str">
        <f>IF('Bill Master List'!F6="Yes",'Bill Master List'!A6,"")</f>
        <v>Storage 4</v>
      </c>
      <c r="B114" s="17">
        <f>IF('Bill Master List'!F6="Yes",'Bill Master List'!B6,"")</f>
        <v>98</v>
      </c>
      <c r="C114" s="20">
        <f>IF('Bill Master List'!F6="Yes",'Bill Master List'!C6,"")</f>
        <v>1</v>
      </c>
      <c r="D114" s="20" t="str">
        <f>IF('Bill Master List'!F6="Yes",'Bill Master List'!D6,"")</f>
        <v>Card2</v>
      </c>
      <c r="E114" s="64" t="str">
        <f>IF('Bill Master List'!F6="Yes",'Bill Master List'!E6,"")</f>
        <v>Housing</v>
      </c>
      <c r="F114" s="17">
        <f>IF('Bill Master List'!F6="Yes",'Bill Master List'!G6,"")</f>
        <v>20</v>
      </c>
      <c r="G114" s="64">
        <f>IF('Bill Master List'!F6="Yes",'Bill Master List'!H6,"")</f>
        <v>5</v>
      </c>
      <c r="H114" s="19" t="str">
        <f>IF('Bill Master List'!F6="Yes",'Bill Master List'!I6,"")</f>
        <v>Lien risk after 30 days late</v>
      </c>
    </row>
    <row r="115" spans="1:8" x14ac:dyDescent="0.3">
      <c r="A115" s="20" t="str">
        <f>IF('Bill Master List'!F7="Yes",'Bill Master List'!A7,"")</f>
        <v>Intuit</v>
      </c>
      <c r="B115" s="17">
        <f>IF('Bill Master List'!F7="Yes",'Bill Master List'!B7,"")</f>
        <v>75</v>
      </c>
      <c r="C115" s="20">
        <f>IF('Bill Master List'!F7="Yes",'Bill Master List'!C7,"")</f>
        <v>20</v>
      </c>
      <c r="D115" s="20" t="str">
        <f>IF('Bill Master List'!F7="Yes",'Bill Master List'!D7,"")</f>
        <v>Card2</v>
      </c>
      <c r="E115" s="64" t="str">
        <f>IF('Bill Master List'!F7="Yes",'Bill Master List'!E7,"")</f>
        <v>Utilities</v>
      </c>
      <c r="F115" s="17">
        <f>IF('Bill Master List'!F7="Yes",'Bill Master List'!G7,"")</f>
        <v>0</v>
      </c>
      <c r="G115" s="64">
        <f>IF('Bill Master List'!F7="Yes",'Bill Master List'!H7,"")</f>
        <v>0</v>
      </c>
      <c r="H115" s="19" t="str">
        <f>IF('Bill Master List'!F7="Yes",'Bill Master List'!I7,"")</f>
        <v>Service suspended if unpaid</v>
      </c>
    </row>
    <row r="116" spans="1:8" x14ac:dyDescent="0.3">
      <c r="A116" s="20" t="str">
        <f>IF('Bill Master List'!F8="Yes",'Bill Master List'!A8,"")</f>
        <v>Cell Phone</v>
      </c>
      <c r="B116" s="17">
        <f>IF('Bill Master List'!F8="Yes",'Bill Master List'!B8,"")</f>
        <v>80</v>
      </c>
      <c r="C116" s="20">
        <f>IF('Bill Master List'!F8="Yes",'Bill Master List'!C8,"")</f>
        <v>5</v>
      </c>
      <c r="D116" s="20" t="str">
        <f>IF('Bill Master List'!F8="Yes",'Bill Master List'!D8,"")</f>
        <v>Card3</v>
      </c>
      <c r="E116" s="64" t="str">
        <f>IF('Bill Master List'!F8="Yes",'Bill Master List'!E8,"")</f>
        <v>Phone</v>
      </c>
      <c r="F116" s="17">
        <f>IF('Bill Master List'!F8="Yes",'Bill Master List'!G8,"")</f>
        <v>25</v>
      </c>
      <c r="G116" s="64">
        <f>IF('Bill Master List'!F8="Yes",'Bill Master List'!H8,"")</f>
        <v>0</v>
      </c>
      <c r="H116" s="19" t="str">
        <f>IF('Bill Master List'!F8="Yes",'Bill Master List'!I8,"")</f>
        <v>Service disconnected after 30 days</v>
      </c>
    </row>
    <row r="117" spans="1:8" ht="28.8" customHeight="1" x14ac:dyDescent="0.3">
      <c r="A117" s="20" t="str">
        <f>IF('Bill Master List'!F9="Yes",'Bill Master List'!A9,"")</f>
        <v>Car Payment</v>
      </c>
      <c r="B117" s="17">
        <f>IF('Bill Master List'!F9="Yes",'Bill Master List'!B9,"")</f>
        <v>785</v>
      </c>
      <c r="C117" s="20">
        <f>IF('Bill Master List'!F9="Yes",'Bill Master List'!C9,"")</f>
        <v>24</v>
      </c>
      <c r="D117" s="20" t="str">
        <f>IF('Bill Master List'!F9="Yes",'Bill Master List'!D9,"")</f>
        <v>Card3</v>
      </c>
      <c r="E117" s="64" t="str">
        <f>IF('Bill Master List'!F9="Yes",'Bill Master List'!E9,"")</f>
        <v>Auto</v>
      </c>
      <c r="F117" s="17">
        <f>IF('Bill Master List'!F9="Yes",'Bill Master List'!G9,"")</f>
        <v>39</v>
      </c>
      <c r="G117" s="64">
        <f>IF('Bill Master List'!F9="Yes",'Bill Master List'!H9,"")</f>
        <v>10</v>
      </c>
      <c r="H117" s="19" t="str">
        <f>IF('Bill Master List'!F9="Yes",'Bill Master List'!I9,"")</f>
        <v>Repo risk after 60+ days. Hits credit report at 30 days.</v>
      </c>
    </row>
    <row r="118" spans="1:8" x14ac:dyDescent="0.3">
      <c r="A118" s="20" t="str">
        <f>IF('Bill Master List'!F10="Yes",'Bill Master List'!A10,"")</f>
        <v>Car Insurance</v>
      </c>
      <c r="B118" s="17">
        <f>IF('Bill Master List'!F10="Yes",'Bill Master List'!B10,"")</f>
        <v>0</v>
      </c>
      <c r="C118" s="20">
        <f>IF('Bill Master List'!F10="Yes",'Bill Master List'!C10,"")</f>
        <v>10</v>
      </c>
      <c r="D118" s="20" t="str">
        <f>IF('Bill Master List'!F10="Yes",'Bill Master List'!D10,"")</f>
        <v>Card1</v>
      </c>
      <c r="E118" s="64" t="str">
        <f>IF('Bill Master List'!F10="Yes",'Bill Master List'!E10,"")</f>
        <v>Auto</v>
      </c>
      <c r="F118" s="17">
        <f>IF('Bill Master List'!F10="Yes",'Bill Master List'!G10,"")</f>
        <v>25</v>
      </c>
      <c r="G118" s="64">
        <f>IF('Bill Master List'!F10="Yes",'Bill Master List'!H10,"")</f>
        <v>10</v>
      </c>
      <c r="H118" s="19" t="str">
        <f>IF('Bill Master List'!F10="Yes",'Bill Master List'!I10,"")</f>
        <v>Policy cancellation after lapse</v>
      </c>
    </row>
    <row r="119" spans="1:8" x14ac:dyDescent="0.3">
      <c r="A119" s="20" t="str">
        <f>IF('Bill Master List'!F11="Yes",'Bill Master List'!A11,"")</f>
        <v>Gas/Fuel</v>
      </c>
      <c r="B119" s="17">
        <f>IF('Bill Master List'!F11="Yes",'Bill Master List'!B11,"")</f>
        <v>200</v>
      </c>
      <c r="C119" s="20">
        <f>IF('Bill Master List'!F11="Yes",'Bill Master List'!C11,"")</f>
        <v>15</v>
      </c>
      <c r="D119" s="20" t="str">
        <f>IF('Bill Master List'!F11="Yes",'Bill Master List'!D11,"")</f>
        <v>Card4</v>
      </c>
      <c r="E119" s="64" t="str">
        <f>IF('Bill Master List'!F11="Yes",'Bill Master List'!E11,"")</f>
        <v>Auto</v>
      </c>
      <c r="F119" s="17">
        <f>IF('Bill Master List'!F11="Yes",'Bill Master List'!G11,"")</f>
        <v>0</v>
      </c>
      <c r="G119" s="64">
        <f>IF('Bill Master List'!F11="Yes",'Bill Master List'!H11,"")</f>
        <v>0</v>
      </c>
      <c r="H119" s="19" t="str">
        <f>IF('Bill Master List'!F11="Yes",'Bill Master List'!I11,"")</f>
        <v>Variable expense - no late fee</v>
      </c>
    </row>
    <row r="120" spans="1:8" x14ac:dyDescent="0.3">
      <c r="A120" s="20" t="str">
        <f>IF('Bill Master List'!F12="Yes",'Bill Master List'!A12,"")</f>
        <v>Groceries</v>
      </c>
      <c r="B120" s="17">
        <f>IF('Bill Master List'!F12="Yes",'Bill Master List'!B12,"")</f>
        <v>400</v>
      </c>
      <c r="C120" s="20">
        <f>IF('Bill Master List'!F12="Yes",'Bill Master List'!C12,"")</f>
        <v>1</v>
      </c>
      <c r="D120" s="20" t="str">
        <f>IF('Bill Master List'!F12="Yes",'Bill Master List'!D12,"")</f>
        <v>Card3</v>
      </c>
      <c r="E120" s="64" t="str">
        <f>IF('Bill Master List'!F12="Yes",'Bill Master List'!E12,"")</f>
        <v>Health</v>
      </c>
      <c r="F120" s="17">
        <f>IF('Bill Master List'!F12="Yes",'Bill Master List'!G12,"")</f>
        <v>0</v>
      </c>
      <c r="G120" s="64">
        <f>IF('Bill Master List'!F12="Yes",'Bill Master List'!H12,"")</f>
        <v>0</v>
      </c>
      <c r="H120" s="19" t="str">
        <f>IF('Bill Master List'!F12="Yes",'Bill Master List'!I12,"")</f>
        <v>Variable expense - no late fee</v>
      </c>
    </row>
    <row r="121" spans="1:8" x14ac:dyDescent="0.3">
      <c r="A121" s="20" t="str">
        <f>IF('Bill Master List'!F13="Yes",'Bill Master List'!A13,"")</f>
        <v>Klarna</v>
      </c>
      <c r="B121" s="17">
        <f>IF('Bill Master List'!F13="Yes",'Bill Master List'!B13,"")</f>
        <v>45</v>
      </c>
      <c r="C121" s="20">
        <f>IF('Bill Master List'!F13="Yes",'Bill Master List'!C13,"")</f>
        <v>15</v>
      </c>
      <c r="D121" s="20" t="str">
        <f>IF('Bill Master List'!F13="Yes",'Bill Master List'!D13,"")</f>
        <v>Card2</v>
      </c>
      <c r="E121" s="64" t="str">
        <f>IF('Bill Master List'!F13="Yes",'Bill Master List'!E13,"")</f>
        <v>Entertainment</v>
      </c>
      <c r="F121" s="17">
        <f>IF('Bill Master List'!F13="Yes",'Bill Master List'!G13,"")</f>
        <v>25</v>
      </c>
      <c r="G121" s="64">
        <f>IF('Bill Master List'!F13="Yes",'Bill Master List'!H13,"")</f>
        <v>0</v>
      </c>
      <c r="H121" s="19" t="str">
        <f>IF('Bill Master List'!F13="Yes",'Bill Master List'!I13,"")</f>
        <v>Hits credit after 30 days late</v>
      </c>
    </row>
    <row r="122" spans="1:8" x14ac:dyDescent="0.3">
      <c r="A122" s="20" t="str">
        <f>IF('Bill Master List'!F14="Yes",'Bill Master List'!A14,"")</f>
        <v>Affirm</v>
      </c>
      <c r="B122" s="17">
        <f>IF('Bill Master List'!F14="Yes",'Bill Master List'!B14,"")</f>
        <v>30</v>
      </c>
      <c r="C122" s="20">
        <f>IF('Bill Master List'!F14="Yes",'Bill Master List'!C14,"")</f>
        <v>20</v>
      </c>
      <c r="D122" s="20" t="str">
        <f>IF('Bill Master List'!F14="Yes",'Bill Master List'!D14,"")</f>
        <v>Card5</v>
      </c>
      <c r="E122" s="64" t="str">
        <f>IF('Bill Master List'!F14="Yes",'Bill Master List'!E14,"")</f>
        <v>Food</v>
      </c>
      <c r="F122" s="17">
        <f>IF('Bill Master List'!F14="Yes",'Bill Master List'!G14,"")</f>
        <v>0</v>
      </c>
      <c r="G122" s="64">
        <f>IF('Bill Master List'!F14="Yes",'Bill Master List'!H14,"")</f>
        <v>0</v>
      </c>
      <c r="H122" s="19" t="str">
        <f>IF('Bill Master List'!F14="Yes",'Bill Master List'!I14,"")</f>
        <v>No late fee but hits credit at 30 days</v>
      </c>
    </row>
    <row r="123" spans="1:8" ht="28.8" customHeight="1" x14ac:dyDescent="0.3">
      <c r="A123" s="20" t="str">
        <f>IF('Bill Master List'!F15="Yes",'Bill Master List'!A15,"")</f>
        <v>NTTA</v>
      </c>
      <c r="B123" s="17">
        <f>IF('Bill Master List'!F15="Yes",'Bill Master List'!B15,"")</f>
        <v>600</v>
      </c>
      <c r="C123" s="20">
        <f>IF('Bill Master List'!F15="Yes",'Bill Master List'!C15,"")</f>
        <v>15</v>
      </c>
      <c r="D123" s="20" t="str">
        <f>IF('Bill Master List'!F15="Yes",'Bill Master List'!D15,"")</f>
        <v>Card5</v>
      </c>
      <c r="E123" s="64" t="str">
        <f>IF('Bill Master List'!F15="Yes",'Bill Master List'!E15,"")</f>
        <v>Auto</v>
      </c>
      <c r="F123" s="17">
        <f>IF('Bill Master List'!F15="Yes",'Bill Master List'!G15,"")</f>
        <v>25</v>
      </c>
      <c r="G123" s="64">
        <f>IF('Bill Master List'!F15="Yes",'Bill Master List'!H15,"")</f>
        <v>30</v>
      </c>
      <c r="H123" s="19" t="str">
        <f>IF('Bill Master List'!F15="Yes",'Bill Master List'!I15,"")</f>
        <v>Can block vehicle registration. TxTag balance required.</v>
      </c>
    </row>
    <row r="124" spans="1:8" x14ac:dyDescent="0.3">
      <c r="A124" s="20" t="str">
        <f>IF('Bill Master List'!F16="Yes",'Bill Master List'!A16,"")</f>
        <v/>
      </c>
      <c r="B124" s="17" t="str">
        <f>IF('Bill Master List'!F16="Yes",'Bill Master List'!B16,"")</f>
        <v/>
      </c>
      <c r="C124" s="20" t="str">
        <f>IF('Bill Master List'!F16="Yes",'Bill Master List'!C16,"")</f>
        <v/>
      </c>
      <c r="D124" s="20" t="str">
        <f>IF('Bill Master List'!F16="Yes",'Bill Master List'!D16,"")</f>
        <v/>
      </c>
      <c r="E124" s="64" t="str">
        <f>IF('Bill Master List'!F16="Yes",'Bill Master List'!E16,"")</f>
        <v/>
      </c>
      <c r="F124" s="17" t="str">
        <f>IF('Bill Master List'!F16="Yes",'Bill Master List'!G16,"")</f>
        <v/>
      </c>
      <c r="G124" s="64" t="str">
        <f>IF('Bill Master List'!F16="Yes",'Bill Master List'!H16,"")</f>
        <v/>
      </c>
      <c r="H124" s="19" t="str">
        <f>IF('Bill Master List'!F16="Yes",'Bill Master List'!I16,"")</f>
        <v/>
      </c>
    </row>
    <row r="125" spans="1:8" x14ac:dyDescent="0.3">
      <c r="A125" s="20" t="str">
        <f>IF('Bill Master List'!F17="Yes",'Bill Master List'!A17,"")</f>
        <v/>
      </c>
      <c r="B125" s="17" t="str">
        <f>IF('Bill Master List'!F17="Yes",'Bill Master List'!B17,"")</f>
        <v/>
      </c>
      <c r="C125" s="20" t="str">
        <f>IF('Bill Master List'!F17="Yes",'Bill Master List'!C17,"")</f>
        <v/>
      </c>
      <c r="D125" s="20" t="str">
        <f>IF('Bill Master List'!F17="Yes",'Bill Master List'!D17,"")</f>
        <v/>
      </c>
      <c r="E125" s="64" t="str">
        <f>IF('Bill Master List'!F17="Yes",'Bill Master List'!E17,"")</f>
        <v/>
      </c>
      <c r="F125" s="17" t="str">
        <f>IF('Bill Master List'!F17="Yes",'Bill Master List'!G17,"")</f>
        <v/>
      </c>
      <c r="G125" s="64" t="str">
        <f>IF('Bill Master List'!F17="Yes",'Bill Master List'!H17,"")</f>
        <v/>
      </c>
      <c r="H125" s="19" t="str">
        <f>IF('Bill Master List'!F17="Yes",'Bill Master List'!I17,"")</f>
        <v/>
      </c>
    </row>
    <row r="126" spans="1:8" x14ac:dyDescent="0.3">
      <c r="A126" s="20" t="str">
        <f>IF('Bill Master List'!F18="Yes",'Bill Master List'!A18,"")</f>
        <v/>
      </c>
      <c r="B126" s="17" t="str">
        <f>IF('Bill Master List'!F18="Yes",'Bill Master List'!B18,"")</f>
        <v/>
      </c>
      <c r="C126" s="20" t="str">
        <f>IF('Bill Master List'!F18="Yes",'Bill Master List'!C18,"")</f>
        <v/>
      </c>
      <c r="D126" s="20" t="str">
        <f>IF('Bill Master List'!F18="Yes",'Bill Master List'!D18,"")</f>
        <v/>
      </c>
      <c r="E126" s="64" t="str">
        <f>IF('Bill Master List'!F18="Yes",'Bill Master List'!E18,"")</f>
        <v/>
      </c>
      <c r="F126" s="17" t="str">
        <f>IF('Bill Master List'!F18="Yes",'Bill Master List'!G18,"")</f>
        <v/>
      </c>
      <c r="G126" s="64" t="str">
        <f>IF('Bill Master List'!F18="Yes",'Bill Master List'!H18,"")</f>
        <v/>
      </c>
      <c r="H126" s="19" t="str">
        <f>IF('Bill Master List'!F18="Yes",'Bill Master List'!I18,"")</f>
        <v/>
      </c>
    </row>
    <row r="127" spans="1:8" x14ac:dyDescent="0.3">
      <c r="A127" s="20" t="str">
        <f>IF('Bill Master List'!F19="Yes",'Bill Master List'!A19,"")</f>
        <v/>
      </c>
      <c r="B127" s="17" t="str">
        <f>IF('Bill Master List'!F19="Yes",'Bill Master List'!B19,"")</f>
        <v/>
      </c>
      <c r="C127" s="20" t="str">
        <f>IF('Bill Master List'!F19="Yes",'Bill Master List'!C19,"")</f>
        <v/>
      </c>
      <c r="D127" s="20" t="str">
        <f>IF('Bill Master List'!F19="Yes",'Bill Master List'!D19,"")</f>
        <v/>
      </c>
      <c r="E127" s="64" t="str">
        <f>IF('Bill Master List'!F19="Yes",'Bill Master List'!E19,"")</f>
        <v/>
      </c>
      <c r="F127" s="17" t="str">
        <f>IF('Bill Master List'!F19="Yes",'Bill Master List'!G19,"")</f>
        <v/>
      </c>
      <c r="G127" s="64" t="str">
        <f>IF('Bill Master List'!F19="Yes",'Bill Master List'!H19,"")</f>
        <v/>
      </c>
      <c r="H127" s="19" t="str">
        <f>IF('Bill Master List'!F19="Yes",'Bill Master List'!I19,"")</f>
        <v/>
      </c>
    </row>
    <row r="128" spans="1:8" x14ac:dyDescent="0.3">
      <c r="A128" s="20" t="str">
        <f>IF('Bill Master List'!F20="Yes",'Bill Master List'!A20,"")</f>
        <v/>
      </c>
      <c r="B128" s="17" t="str">
        <f>IF('Bill Master List'!F20="Yes",'Bill Master List'!B20,"")</f>
        <v/>
      </c>
      <c r="C128" s="20" t="str">
        <f>IF('Bill Master List'!F20="Yes",'Bill Master List'!C20,"")</f>
        <v/>
      </c>
      <c r="D128" s="20" t="str">
        <f>IF('Bill Master List'!F20="Yes",'Bill Master List'!D20,"")</f>
        <v/>
      </c>
      <c r="E128" s="64" t="str">
        <f>IF('Bill Master List'!F20="Yes",'Bill Master List'!E20,"")</f>
        <v/>
      </c>
      <c r="F128" s="17" t="str">
        <f>IF('Bill Master List'!F20="Yes",'Bill Master List'!G20,"")</f>
        <v/>
      </c>
      <c r="G128" s="64" t="str">
        <f>IF('Bill Master List'!F20="Yes",'Bill Master List'!H20,"")</f>
        <v/>
      </c>
      <c r="H128" s="19" t="str">
        <f>IF('Bill Master List'!F20="Yes",'Bill Master List'!I20,"")</f>
        <v/>
      </c>
    </row>
    <row r="129" spans="1:8" x14ac:dyDescent="0.3">
      <c r="A129" s="20" t="str">
        <f>IF('Bill Master List'!F21="Yes",'Bill Master List'!A21,"")</f>
        <v/>
      </c>
      <c r="B129" s="17" t="str">
        <f>IF('Bill Master List'!F21="Yes",'Bill Master List'!B21,"")</f>
        <v/>
      </c>
      <c r="C129" s="20" t="str">
        <f>IF('Bill Master List'!F21="Yes",'Bill Master List'!C21,"")</f>
        <v/>
      </c>
      <c r="D129" s="20" t="str">
        <f>IF('Bill Master List'!F21="Yes",'Bill Master List'!D21,"")</f>
        <v/>
      </c>
      <c r="E129" s="64" t="str">
        <f>IF('Bill Master List'!F21="Yes",'Bill Master List'!E21,"")</f>
        <v/>
      </c>
      <c r="F129" s="17" t="str">
        <f>IF('Bill Master List'!F21="Yes",'Bill Master List'!G21,"")</f>
        <v/>
      </c>
      <c r="G129" s="64" t="str">
        <f>IF('Bill Master List'!F21="Yes",'Bill Master List'!H21,"")</f>
        <v/>
      </c>
      <c r="H129" s="19" t="str">
        <f>IF('Bill Master List'!F21="Yes",'Bill Master List'!I21,"")</f>
        <v/>
      </c>
    </row>
    <row r="130" spans="1:8" x14ac:dyDescent="0.3">
      <c r="A130" s="20" t="str">
        <f>IF('Bill Master List'!F22="Yes",'Bill Master List'!A22,"")</f>
        <v/>
      </c>
      <c r="B130" s="17" t="str">
        <f>IF('Bill Master List'!F22="Yes",'Bill Master List'!B22,"")</f>
        <v/>
      </c>
      <c r="C130" s="20" t="str">
        <f>IF('Bill Master List'!F22="Yes",'Bill Master List'!C22,"")</f>
        <v/>
      </c>
      <c r="D130" s="20" t="str">
        <f>IF('Bill Master List'!F22="Yes",'Bill Master List'!D22,"")</f>
        <v/>
      </c>
      <c r="E130" s="64" t="str">
        <f>IF('Bill Master List'!F22="Yes",'Bill Master List'!E22,"")</f>
        <v/>
      </c>
      <c r="F130" s="17" t="str">
        <f>IF('Bill Master List'!F22="Yes",'Bill Master List'!G22,"")</f>
        <v/>
      </c>
      <c r="G130" s="64" t="str">
        <f>IF('Bill Master List'!F22="Yes",'Bill Master List'!H22,"")</f>
        <v/>
      </c>
      <c r="H130" s="19" t="str">
        <f>IF('Bill Master List'!F22="Yes",'Bill Master List'!I22,"")</f>
        <v/>
      </c>
    </row>
    <row r="131" spans="1:8" x14ac:dyDescent="0.3">
      <c r="A131" s="20" t="str">
        <f>IF('Bill Master List'!F23="Yes",'Bill Master List'!A23,"")</f>
        <v/>
      </c>
      <c r="B131" s="17" t="str">
        <f>IF('Bill Master List'!F23="Yes",'Bill Master List'!B23,"")</f>
        <v/>
      </c>
      <c r="C131" s="20" t="str">
        <f>IF('Bill Master List'!F23="Yes",'Bill Master List'!C23,"")</f>
        <v/>
      </c>
      <c r="D131" s="20" t="str">
        <f>IF('Bill Master List'!F23="Yes",'Bill Master List'!D23,"")</f>
        <v/>
      </c>
      <c r="E131" s="64" t="str">
        <f>IF('Bill Master List'!F23="Yes",'Bill Master List'!E23,"")</f>
        <v/>
      </c>
      <c r="F131" s="17" t="str">
        <f>IF('Bill Master List'!F23="Yes",'Bill Master List'!G23,"")</f>
        <v/>
      </c>
      <c r="G131" s="64" t="str">
        <f>IF('Bill Master List'!F23="Yes",'Bill Master List'!H23,"")</f>
        <v/>
      </c>
      <c r="H131" s="19" t="str">
        <f>IF('Bill Master List'!F23="Yes",'Bill Master List'!I23,"")</f>
        <v/>
      </c>
    </row>
    <row r="132" spans="1:8" x14ac:dyDescent="0.3">
      <c r="A132" s="20" t="str">
        <f>IF('Bill Master List'!F24="Yes",'Bill Master List'!A24,"")</f>
        <v/>
      </c>
      <c r="B132" s="17" t="str">
        <f>IF('Bill Master List'!F24="Yes",'Bill Master List'!B24,"")</f>
        <v/>
      </c>
      <c r="C132" s="20" t="str">
        <f>IF('Bill Master List'!F24="Yes",'Bill Master List'!C24,"")</f>
        <v/>
      </c>
      <c r="D132" s="20" t="str">
        <f>IF('Bill Master List'!F24="Yes",'Bill Master List'!D24,"")</f>
        <v/>
      </c>
      <c r="E132" s="64" t="str">
        <f>IF('Bill Master List'!F24="Yes",'Bill Master List'!E24,"")</f>
        <v/>
      </c>
      <c r="F132" s="17" t="str">
        <f>IF('Bill Master List'!F24="Yes",'Bill Master List'!G24,"")</f>
        <v/>
      </c>
      <c r="G132" s="64" t="str">
        <f>IF('Bill Master List'!F24="Yes",'Bill Master List'!H24,"")</f>
        <v/>
      </c>
      <c r="H132" s="19" t="str">
        <f>IF('Bill Master List'!F24="Yes",'Bill Master List'!I24,"")</f>
        <v/>
      </c>
    </row>
    <row r="133" spans="1:8" x14ac:dyDescent="0.3">
      <c r="A133" s="20" t="str">
        <f>IF('Bill Master List'!F25="Yes",'Bill Master List'!A25,"")</f>
        <v/>
      </c>
      <c r="B133" s="17" t="str">
        <f>IF('Bill Master List'!F25="Yes",'Bill Master List'!B25,"")</f>
        <v/>
      </c>
      <c r="C133" s="20" t="str">
        <f>IF('Bill Master List'!F25="Yes",'Bill Master List'!C25,"")</f>
        <v/>
      </c>
      <c r="D133" s="20" t="str">
        <f>IF('Bill Master List'!F25="Yes",'Bill Master List'!D25,"")</f>
        <v/>
      </c>
      <c r="E133" s="64" t="str">
        <f>IF('Bill Master List'!F25="Yes",'Bill Master List'!E25,"")</f>
        <v/>
      </c>
      <c r="F133" s="17" t="str">
        <f>IF('Bill Master List'!F25="Yes",'Bill Master List'!G25,"")</f>
        <v/>
      </c>
      <c r="G133" s="64" t="str">
        <f>IF('Bill Master List'!F25="Yes",'Bill Master List'!H25,"")</f>
        <v/>
      </c>
      <c r="H133" s="19" t="str">
        <f>IF('Bill Master List'!F25="Yes",'Bill Master List'!I25,"")</f>
        <v/>
      </c>
    </row>
    <row r="134" spans="1:8" x14ac:dyDescent="0.3">
      <c r="A134" s="20" t="str">
        <f>IF('Bill Master List'!F26="Yes",'Bill Master List'!A26,"")</f>
        <v/>
      </c>
      <c r="B134" s="17" t="str">
        <f>IF('Bill Master List'!F26="Yes",'Bill Master List'!B26,"")</f>
        <v/>
      </c>
      <c r="C134" s="20" t="str">
        <f>IF('Bill Master List'!F26="Yes",'Bill Master List'!C26,"")</f>
        <v/>
      </c>
      <c r="D134" s="20" t="str">
        <f>IF('Bill Master List'!F26="Yes",'Bill Master List'!D26,"")</f>
        <v/>
      </c>
      <c r="E134" s="64" t="str">
        <f>IF('Bill Master List'!F26="Yes",'Bill Master List'!E26,"")</f>
        <v/>
      </c>
      <c r="F134" s="17" t="str">
        <f>IF('Bill Master List'!F26="Yes",'Bill Master List'!G26,"")</f>
        <v/>
      </c>
      <c r="G134" s="64" t="str">
        <f>IF('Bill Master List'!F26="Yes",'Bill Master List'!H26,"")</f>
        <v/>
      </c>
      <c r="H134" s="19" t="str">
        <f>IF('Bill Master List'!F26="Yes",'Bill Master List'!I26,"")</f>
        <v/>
      </c>
    </row>
    <row r="135" spans="1:8" x14ac:dyDescent="0.3">
      <c r="A135" s="20" t="str">
        <f>IF('Bill Master List'!F27="Yes",'Bill Master List'!A27,"")</f>
        <v/>
      </c>
      <c r="B135" s="17" t="str">
        <f>IF('Bill Master List'!F27="Yes",'Bill Master List'!B27,"")</f>
        <v/>
      </c>
      <c r="C135" s="20" t="str">
        <f>IF('Bill Master List'!F27="Yes",'Bill Master List'!C27,"")</f>
        <v/>
      </c>
      <c r="D135" s="20" t="str">
        <f>IF('Bill Master List'!F27="Yes",'Bill Master List'!D27,"")</f>
        <v/>
      </c>
      <c r="E135" s="64" t="str">
        <f>IF('Bill Master List'!F27="Yes",'Bill Master List'!E27,"")</f>
        <v/>
      </c>
      <c r="F135" s="17" t="str">
        <f>IF('Bill Master List'!F27="Yes",'Bill Master List'!G27,"")</f>
        <v/>
      </c>
      <c r="G135" s="64" t="str">
        <f>IF('Bill Master List'!F27="Yes",'Bill Master List'!H27,"")</f>
        <v/>
      </c>
      <c r="H135" s="19" t="str">
        <f>IF('Bill Master List'!F27="Yes",'Bill Master List'!I27,"")</f>
        <v/>
      </c>
    </row>
    <row r="136" spans="1:8" x14ac:dyDescent="0.3">
      <c r="A136" s="20" t="str">
        <f>IF('Bill Master List'!F28="Yes",'Bill Master List'!A28,"")</f>
        <v/>
      </c>
      <c r="B136" s="17" t="str">
        <f>IF('Bill Master List'!F28="Yes",'Bill Master List'!B28,"")</f>
        <v/>
      </c>
      <c r="C136" s="20" t="str">
        <f>IF('Bill Master List'!F28="Yes",'Bill Master List'!C28,"")</f>
        <v/>
      </c>
      <c r="D136" s="20" t="str">
        <f>IF('Bill Master List'!F28="Yes",'Bill Master List'!D28,"")</f>
        <v/>
      </c>
      <c r="E136" s="64" t="str">
        <f>IF('Bill Master List'!F28="Yes",'Bill Master List'!E28,"")</f>
        <v/>
      </c>
      <c r="F136" s="17" t="str">
        <f>IF('Bill Master List'!F28="Yes",'Bill Master List'!G28,"")</f>
        <v/>
      </c>
      <c r="G136" s="64" t="str">
        <f>IF('Bill Master List'!F28="Yes",'Bill Master List'!H28,"")</f>
        <v/>
      </c>
      <c r="H136" s="19" t="str">
        <f>IF('Bill Master List'!F28="Yes",'Bill Master List'!I28,"")</f>
        <v/>
      </c>
    </row>
    <row r="137" spans="1:8" x14ac:dyDescent="0.3">
      <c r="A137" s="20" t="str">
        <f>IF('Bill Master List'!F29="Yes",'Bill Master List'!A29,"")</f>
        <v/>
      </c>
      <c r="B137" s="17" t="str">
        <f>IF('Bill Master List'!F29="Yes",'Bill Master List'!B29,"")</f>
        <v/>
      </c>
      <c r="C137" s="20" t="str">
        <f>IF('Bill Master List'!F29="Yes",'Bill Master List'!C29,"")</f>
        <v/>
      </c>
      <c r="D137" s="20" t="str">
        <f>IF('Bill Master List'!F29="Yes",'Bill Master List'!D29,"")</f>
        <v/>
      </c>
      <c r="E137" s="64" t="str">
        <f>IF('Bill Master List'!F29="Yes",'Bill Master List'!E29,"")</f>
        <v/>
      </c>
      <c r="F137" s="17" t="str">
        <f>IF('Bill Master List'!F29="Yes",'Bill Master List'!G29,"")</f>
        <v/>
      </c>
      <c r="G137" s="64" t="str">
        <f>IF('Bill Master List'!F29="Yes",'Bill Master List'!H29,"")</f>
        <v/>
      </c>
      <c r="H137" s="19" t="str">
        <f>IF('Bill Master List'!F29="Yes",'Bill Master List'!I29,"")</f>
        <v/>
      </c>
    </row>
    <row r="138" spans="1:8" x14ac:dyDescent="0.3">
      <c r="A138" s="20" t="str">
        <f>IF('Bill Master List'!F30="Yes",'Bill Master List'!A30,"")</f>
        <v/>
      </c>
      <c r="B138" s="17" t="str">
        <f>IF('Bill Master List'!F30="Yes",'Bill Master List'!B30,"")</f>
        <v/>
      </c>
      <c r="C138" s="20" t="str">
        <f>IF('Bill Master List'!F30="Yes",'Bill Master List'!C30,"")</f>
        <v/>
      </c>
      <c r="D138" s="20" t="str">
        <f>IF('Bill Master List'!F30="Yes",'Bill Master List'!D30,"")</f>
        <v/>
      </c>
      <c r="E138" s="64" t="str">
        <f>IF('Bill Master List'!F30="Yes",'Bill Master List'!E30,"")</f>
        <v/>
      </c>
      <c r="F138" s="17" t="str">
        <f>IF('Bill Master List'!F30="Yes",'Bill Master List'!G30,"")</f>
        <v/>
      </c>
      <c r="G138" s="64" t="str">
        <f>IF('Bill Master List'!F30="Yes",'Bill Master List'!H30,"")</f>
        <v/>
      </c>
      <c r="H138" s="19" t="str">
        <f>IF('Bill Master List'!F30="Yes",'Bill Master List'!I30,"")</f>
        <v/>
      </c>
    </row>
    <row r="139" spans="1:8" x14ac:dyDescent="0.3">
      <c r="A139" s="20" t="str">
        <f>IF('Bill Master List'!F31="Yes",'Bill Master List'!A31,"")</f>
        <v/>
      </c>
      <c r="B139" s="17" t="str">
        <f>IF('Bill Master List'!F31="Yes",'Bill Master List'!B31,"")</f>
        <v/>
      </c>
      <c r="C139" s="20" t="str">
        <f>IF('Bill Master List'!F31="Yes",'Bill Master List'!C31,"")</f>
        <v/>
      </c>
      <c r="D139" s="20" t="str">
        <f>IF('Bill Master List'!F31="Yes",'Bill Master List'!D31,"")</f>
        <v/>
      </c>
      <c r="E139" s="64" t="str">
        <f>IF('Bill Master List'!F31="Yes",'Bill Master List'!E31,"")</f>
        <v/>
      </c>
      <c r="F139" s="17" t="str">
        <f>IF('Bill Master List'!F31="Yes",'Bill Master List'!G31,"")</f>
        <v/>
      </c>
      <c r="G139" s="64" t="str">
        <f>IF('Bill Master List'!F31="Yes",'Bill Master List'!H31,"")</f>
        <v/>
      </c>
      <c r="H139" s="19" t="str">
        <f>IF('Bill Master List'!F31="Yes",'Bill Master List'!I31,"")</f>
        <v/>
      </c>
    </row>
    <row r="140" spans="1:8" x14ac:dyDescent="0.3">
      <c r="A140" s="20" t="str">
        <f>IF('Bill Master List'!F32="Yes",'Bill Master List'!A32,"")</f>
        <v/>
      </c>
      <c r="B140" s="17" t="str">
        <f>IF('Bill Master List'!F32="Yes",'Bill Master List'!B32,"")</f>
        <v/>
      </c>
      <c r="C140" s="20" t="str">
        <f>IF('Bill Master List'!F32="Yes",'Bill Master List'!C32,"")</f>
        <v/>
      </c>
      <c r="D140" s="20" t="str">
        <f>IF('Bill Master List'!F32="Yes",'Bill Master List'!D32,"")</f>
        <v/>
      </c>
      <c r="E140" s="64" t="str">
        <f>IF('Bill Master List'!F32="Yes",'Bill Master List'!E32,"")</f>
        <v/>
      </c>
      <c r="F140" s="17" t="str">
        <f>IF('Bill Master List'!F32="Yes",'Bill Master List'!G32,"")</f>
        <v/>
      </c>
      <c r="G140" s="64" t="str">
        <f>IF('Bill Master List'!F32="Yes",'Bill Master List'!H32,"")</f>
        <v/>
      </c>
      <c r="H140" s="19" t="str">
        <f>IF('Bill Master List'!F32="Yes",'Bill Master List'!I32,"")</f>
        <v/>
      </c>
    </row>
    <row r="141" spans="1:8" x14ac:dyDescent="0.3">
      <c r="A141" s="22" t="s">
        <v>172</v>
      </c>
      <c r="B141" s="23" t="s">
        <v>173</v>
      </c>
      <c r="C141" s="23" t="s">
        <v>174</v>
      </c>
      <c r="D141" s="23" t="s">
        <v>175</v>
      </c>
      <c r="E141" s="68" t="s">
        <v>176</v>
      </c>
      <c r="F141" s="23" t="s">
        <v>177</v>
      </c>
      <c r="G141" s="65" t="s">
        <v>178</v>
      </c>
      <c r="H141" s="24" t="s">
        <v>179</v>
      </c>
    </row>
    <row r="142" spans="1:8" x14ac:dyDescent="0.3">
      <c r="B142" s="25">
        <f>SUMIF(D111:D140,"Card1",B111:B140)</f>
        <v>587</v>
      </c>
      <c r="C142" s="25">
        <f>SUMIF(D111:D140,"Card2",B111:B140)</f>
        <v>398</v>
      </c>
      <c r="D142" s="25">
        <f>SUMIF(D111:D140,"Card3",B111:B140)</f>
        <v>1265</v>
      </c>
      <c r="E142" s="69">
        <f>SUMIF(D111:D140,"Card4",B111:B140)</f>
        <v>200</v>
      </c>
      <c r="F142" s="25">
        <f>SUMIF(D111:D140,"Card5",B111:B140)</f>
        <v>630</v>
      </c>
      <c r="G142" s="66">
        <f>SUM(B111:B140)</f>
        <v>3080</v>
      </c>
      <c r="H142" s="26">
        <f>SUM(F111:F140)</f>
        <v>249</v>
      </c>
    </row>
    <row r="144" spans="1:8" ht="15.6" customHeight="1" x14ac:dyDescent="0.3">
      <c r="A144" s="98" t="s">
        <v>183</v>
      </c>
      <c r="B144" s="86"/>
      <c r="C144" s="86"/>
      <c r="D144" s="86"/>
      <c r="E144" s="97"/>
      <c r="F144" s="86"/>
      <c r="G144" s="97"/>
      <c r="H144" s="86"/>
    </row>
    <row r="145" spans="1:8" x14ac:dyDescent="0.3">
      <c r="A145" s="21" t="s">
        <v>130</v>
      </c>
      <c r="B145" s="21" t="s">
        <v>131</v>
      </c>
      <c r="C145" s="21" t="s">
        <v>96</v>
      </c>
      <c r="D145" s="21" t="s">
        <v>170</v>
      </c>
      <c r="E145" s="63" t="s">
        <v>133</v>
      </c>
      <c r="F145" s="21" t="s">
        <v>134</v>
      </c>
      <c r="G145" s="63" t="s">
        <v>171</v>
      </c>
      <c r="H145" s="21" t="s">
        <v>136</v>
      </c>
    </row>
    <row r="146" spans="1:8" x14ac:dyDescent="0.3">
      <c r="A146" s="20" t="str">
        <f>IF('Bill Master List'!F3="Yes",'Bill Master List'!A3,"")</f>
        <v>Storage 1</v>
      </c>
      <c r="B146" s="17">
        <f>IF('Bill Master List'!F3="Yes",'Bill Master List'!B3,"")</f>
        <v>478</v>
      </c>
      <c r="C146" s="20">
        <f>IF('Bill Master List'!F3="Yes",'Bill Master List'!C3,"")</f>
        <v>1</v>
      </c>
      <c r="D146" s="20" t="str">
        <f>IF('Bill Master List'!F3="Yes",'Bill Master List'!D3,"")</f>
        <v>Card1</v>
      </c>
      <c r="E146" s="64" t="str">
        <f>IF('Bill Master List'!F3="Yes",'Bill Master List'!E3,"")</f>
        <v>Housing</v>
      </c>
      <c r="F146" s="17">
        <f>IF('Bill Master List'!F3="Yes",'Bill Master List'!G3,"")</f>
        <v>40</v>
      </c>
      <c r="G146" s="64">
        <f>IF('Bill Master List'!F3="Yes",'Bill Master List'!H3,"")</f>
        <v>5</v>
      </c>
      <c r="H146" s="19" t="str">
        <f>IF('Bill Master List'!F3="Yes",'Bill Master List'!I3,"")</f>
        <v>Lien risk after 30 days late</v>
      </c>
    </row>
    <row r="147" spans="1:8" x14ac:dyDescent="0.3">
      <c r="A147" s="20" t="str">
        <f>IF('Bill Master List'!F4="Yes",'Bill Master List'!A4,"")</f>
        <v>Storage 2</v>
      </c>
      <c r="B147" s="17">
        <f>IF('Bill Master List'!F4="Yes",'Bill Master List'!B4,"")</f>
        <v>109</v>
      </c>
      <c r="C147" s="20">
        <f>IF('Bill Master List'!F4="Yes",'Bill Master List'!C4,"")</f>
        <v>1</v>
      </c>
      <c r="D147" s="20" t="str">
        <f>IF('Bill Master List'!F4="Yes",'Bill Master List'!D4,"")</f>
        <v>Card1</v>
      </c>
      <c r="E147" s="64" t="str">
        <f>IF('Bill Master List'!F4="Yes",'Bill Master List'!E4,"")</f>
        <v>Housing</v>
      </c>
      <c r="F147" s="17">
        <f>IF('Bill Master List'!F4="Yes",'Bill Master List'!G4,"")</f>
        <v>25</v>
      </c>
      <c r="G147" s="64">
        <f>IF('Bill Master List'!F4="Yes",'Bill Master List'!H4,"")</f>
        <v>5</v>
      </c>
      <c r="H147" s="19" t="str">
        <f>IF('Bill Master List'!F4="Yes",'Bill Master List'!I4,"")</f>
        <v>Lien risk after 30 days late</v>
      </c>
    </row>
    <row r="148" spans="1:8" x14ac:dyDescent="0.3">
      <c r="A148" s="20" t="str">
        <f>IF('Bill Master List'!F5="Yes",'Bill Master List'!A5,"")</f>
        <v>Storage 3</v>
      </c>
      <c r="B148" s="17">
        <f>IF('Bill Master List'!F5="Yes",'Bill Master List'!B5,"")</f>
        <v>180</v>
      </c>
      <c r="C148" s="20">
        <f>IF('Bill Master List'!F5="Yes",'Bill Master List'!C5,"")</f>
        <v>1</v>
      </c>
      <c r="D148" s="20" t="str">
        <f>IF('Bill Master List'!F5="Yes",'Bill Master List'!D5,"")</f>
        <v>Card2</v>
      </c>
      <c r="E148" s="64" t="str">
        <f>IF('Bill Master List'!F5="Yes",'Bill Master List'!E5,"")</f>
        <v>Housing</v>
      </c>
      <c r="F148" s="17">
        <f>IF('Bill Master List'!F5="Yes",'Bill Master List'!G5,"")</f>
        <v>25</v>
      </c>
      <c r="G148" s="64">
        <f>IF('Bill Master List'!F5="Yes",'Bill Master List'!H5,"")</f>
        <v>5</v>
      </c>
      <c r="H148" s="19" t="str">
        <f>IF('Bill Master List'!F5="Yes",'Bill Master List'!I5,"")</f>
        <v>Lien risk after 30 days late</v>
      </c>
    </row>
    <row r="149" spans="1:8" x14ac:dyDescent="0.3">
      <c r="A149" s="20" t="str">
        <f>IF('Bill Master List'!F6="Yes",'Bill Master List'!A6,"")</f>
        <v>Storage 4</v>
      </c>
      <c r="B149" s="17">
        <f>IF('Bill Master List'!F6="Yes",'Bill Master List'!B6,"")</f>
        <v>98</v>
      </c>
      <c r="C149" s="20">
        <f>IF('Bill Master List'!F6="Yes",'Bill Master List'!C6,"")</f>
        <v>1</v>
      </c>
      <c r="D149" s="20" t="str">
        <f>IF('Bill Master List'!F6="Yes",'Bill Master List'!D6,"")</f>
        <v>Card2</v>
      </c>
      <c r="E149" s="64" t="str">
        <f>IF('Bill Master List'!F6="Yes",'Bill Master List'!E6,"")</f>
        <v>Housing</v>
      </c>
      <c r="F149" s="17">
        <f>IF('Bill Master List'!F6="Yes",'Bill Master List'!G6,"")</f>
        <v>20</v>
      </c>
      <c r="G149" s="64">
        <f>IF('Bill Master List'!F6="Yes",'Bill Master List'!H6,"")</f>
        <v>5</v>
      </c>
      <c r="H149" s="19" t="str">
        <f>IF('Bill Master List'!F6="Yes",'Bill Master List'!I6,"")</f>
        <v>Lien risk after 30 days late</v>
      </c>
    </row>
    <row r="150" spans="1:8" x14ac:dyDescent="0.3">
      <c r="A150" s="20" t="str">
        <f>IF('Bill Master List'!F7="Yes",'Bill Master List'!A7,"")</f>
        <v>Intuit</v>
      </c>
      <c r="B150" s="17">
        <f>IF('Bill Master List'!F7="Yes",'Bill Master List'!B7,"")</f>
        <v>75</v>
      </c>
      <c r="C150" s="20">
        <f>IF('Bill Master List'!F7="Yes",'Bill Master List'!C7,"")</f>
        <v>20</v>
      </c>
      <c r="D150" s="20" t="str">
        <f>IF('Bill Master List'!F7="Yes",'Bill Master List'!D7,"")</f>
        <v>Card2</v>
      </c>
      <c r="E150" s="64" t="str">
        <f>IF('Bill Master List'!F7="Yes",'Bill Master List'!E7,"")</f>
        <v>Utilities</v>
      </c>
      <c r="F150" s="17">
        <f>IF('Bill Master List'!F7="Yes",'Bill Master List'!G7,"")</f>
        <v>0</v>
      </c>
      <c r="G150" s="64">
        <f>IF('Bill Master List'!F7="Yes",'Bill Master List'!H7,"")</f>
        <v>0</v>
      </c>
      <c r="H150" s="19" t="str">
        <f>IF('Bill Master List'!F7="Yes",'Bill Master List'!I7,"")</f>
        <v>Service suspended if unpaid</v>
      </c>
    </row>
    <row r="151" spans="1:8" x14ac:dyDescent="0.3">
      <c r="A151" s="20" t="str">
        <f>IF('Bill Master List'!F8="Yes",'Bill Master List'!A8,"")</f>
        <v>Cell Phone</v>
      </c>
      <c r="B151" s="17">
        <f>IF('Bill Master List'!F8="Yes",'Bill Master List'!B8,"")</f>
        <v>80</v>
      </c>
      <c r="C151" s="20">
        <f>IF('Bill Master List'!F8="Yes",'Bill Master List'!C8,"")</f>
        <v>5</v>
      </c>
      <c r="D151" s="20" t="str">
        <f>IF('Bill Master List'!F8="Yes",'Bill Master List'!D8,"")</f>
        <v>Card3</v>
      </c>
      <c r="E151" s="64" t="str">
        <f>IF('Bill Master List'!F8="Yes",'Bill Master List'!E8,"")</f>
        <v>Phone</v>
      </c>
      <c r="F151" s="17">
        <f>IF('Bill Master List'!F8="Yes",'Bill Master List'!G8,"")</f>
        <v>25</v>
      </c>
      <c r="G151" s="64">
        <f>IF('Bill Master List'!F8="Yes",'Bill Master List'!H8,"")</f>
        <v>0</v>
      </c>
      <c r="H151" s="19" t="str">
        <f>IF('Bill Master List'!F8="Yes",'Bill Master List'!I8,"")</f>
        <v>Service disconnected after 30 days</v>
      </c>
    </row>
    <row r="152" spans="1:8" ht="28.8" customHeight="1" x14ac:dyDescent="0.3">
      <c r="A152" s="20" t="str">
        <f>IF('Bill Master List'!F9="Yes",'Bill Master List'!A9,"")</f>
        <v>Car Payment</v>
      </c>
      <c r="B152" s="17">
        <f>IF('Bill Master List'!F9="Yes",'Bill Master List'!B9,"")</f>
        <v>785</v>
      </c>
      <c r="C152" s="20">
        <f>IF('Bill Master List'!F9="Yes",'Bill Master List'!C9,"")</f>
        <v>24</v>
      </c>
      <c r="D152" s="20" t="str">
        <f>IF('Bill Master List'!F9="Yes",'Bill Master List'!D9,"")</f>
        <v>Card3</v>
      </c>
      <c r="E152" s="64" t="str">
        <f>IF('Bill Master List'!F9="Yes",'Bill Master List'!E9,"")</f>
        <v>Auto</v>
      </c>
      <c r="F152" s="17">
        <f>IF('Bill Master List'!F9="Yes",'Bill Master List'!G9,"")</f>
        <v>39</v>
      </c>
      <c r="G152" s="64">
        <f>IF('Bill Master List'!F9="Yes",'Bill Master List'!H9,"")</f>
        <v>10</v>
      </c>
      <c r="H152" s="19" t="str">
        <f>IF('Bill Master List'!F9="Yes",'Bill Master List'!I9,"")</f>
        <v>Repo risk after 60+ days. Hits credit report at 30 days.</v>
      </c>
    </row>
    <row r="153" spans="1:8" x14ac:dyDescent="0.3">
      <c r="A153" s="20" t="str">
        <f>IF('Bill Master List'!F10="Yes",'Bill Master List'!A10,"")</f>
        <v>Car Insurance</v>
      </c>
      <c r="B153" s="17">
        <f>IF('Bill Master List'!F10="Yes",'Bill Master List'!B10,"")</f>
        <v>0</v>
      </c>
      <c r="C153" s="20">
        <f>IF('Bill Master List'!F10="Yes",'Bill Master List'!C10,"")</f>
        <v>10</v>
      </c>
      <c r="D153" s="20" t="str">
        <f>IF('Bill Master List'!F10="Yes",'Bill Master List'!D10,"")</f>
        <v>Card1</v>
      </c>
      <c r="E153" s="64" t="str">
        <f>IF('Bill Master List'!F10="Yes",'Bill Master List'!E10,"")</f>
        <v>Auto</v>
      </c>
      <c r="F153" s="17">
        <f>IF('Bill Master List'!F10="Yes",'Bill Master List'!G10,"")</f>
        <v>25</v>
      </c>
      <c r="G153" s="64">
        <f>IF('Bill Master List'!F10="Yes",'Bill Master List'!H10,"")</f>
        <v>10</v>
      </c>
      <c r="H153" s="19" t="str">
        <f>IF('Bill Master List'!F10="Yes",'Bill Master List'!I10,"")</f>
        <v>Policy cancellation after lapse</v>
      </c>
    </row>
    <row r="154" spans="1:8" x14ac:dyDescent="0.3">
      <c r="A154" s="20" t="str">
        <f>IF('Bill Master List'!F11="Yes",'Bill Master List'!A11,"")</f>
        <v>Gas/Fuel</v>
      </c>
      <c r="B154" s="17">
        <f>IF('Bill Master List'!F11="Yes",'Bill Master List'!B11,"")</f>
        <v>200</v>
      </c>
      <c r="C154" s="20">
        <f>IF('Bill Master List'!F11="Yes",'Bill Master List'!C11,"")</f>
        <v>15</v>
      </c>
      <c r="D154" s="20" t="str">
        <f>IF('Bill Master List'!F11="Yes",'Bill Master List'!D11,"")</f>
        <v>Card4</v>
      </c>
      <c r="E154" s="64" t="str">
        <f>IF('Bill Master List'!F11="Yes",'Bill Master List'!E11,"")</f>
        <v>Auto</v>
      </c>
      <c r="F154" s="17">
        <f>IF('Bill Master List'!F11="Yes",'Bill Master List'!G11,"")</f>
        <v>0</v>
      </c>
      <c r="G154" s="64">
        <f>IF('Bill Master List'!F11="Yes",'Bill Master List'!H11,"")</f>
        <v>0</v>
      </c>
      <c r="H154" s="19" t="str">
        <f>IF('Bill Master List'!F11="Yes",'Bill Master List'!I11,"")</f>
        <v>Variable expense - no late fee</v>
      </c>
    </row>
    <row r="155" spans="1:8" x14ac:dyDescent="0.3">
      <c r="A155" s="20" t="str">
        <f>IF('Bill Master List'!F12="Yes",'Bill Master List'!A12,"")</f>
        <v>Groceries</v>
      </c>
      <c r="B155" s="17">
        <f>IF('Bill Master List'!F12="Yes",'Bill Master List'!B12,"")</f>
        <v>400</v>
      </c>
      <c r="C155" s="20">
        <f>IF('Bill Master List'!F12="Yes",'Bill Master List'!C12,"")</f>
        <v>1</v>
      </c>
      <c r="D155" s="20" t="str">
        <f>IF('Bill Master List'!F12="Yes",'Bill Master List'!D12,"")</f>
        <v>Card3</v>
      </c>
      <c r="E155" s="64" t="str">
        <f>IF('Bill Master List'!F12="Yes",'Bill Master List'!E12,"")</f>
        <v>Health</v>
      </c>
      <c r="F155" s="17">
        <f>IF('Bill Master List'!F12="Yes",'Bill Master List'!G12,"")</f>
        <v>0</v>
      </c>
      <c r="G155" s="64">
        <f>IF('Bill Master List'!F12="Yes",'Bill Master List'!H12,"")</f>
        <v>0</v>
      </c>
      <c r="H155" s="19" t="str">
        <f>IF('Bill Master List'!F12="Yes",'Bill Master List'!I12,"")</f>
        <v>Variable expense - no late fee</v>
      </c>
    </row>
    <row r="156" spans="1:8" x14ac:dyDescent="0.3">
      <c r="A156" s="20" t="str">
        <f>IF('Bill Master List'!F13="Yes",'Bill Master List'!A13,"")</f>
        <v>Klarna</v>
      </c>
      <c r="B156" s="17">
        <f>IF('Bill Master List'!F13="Yes",'Bill Master List'!B13,"")</f>
        <v>45</v>
      </c>
      <c r="C156" s="20">
        <f>IF('Bill Master List'!F13="Yes",'Bill Master List'!C13,"")</f>
        <v>15</v>
      </c>
      <c r="D156" s="20" t="str">
        <f>IF('Bill Master List'!F13="Yes",'Bill Master List'!D13,"")</f>
        <v>Card2</v>
      </c>
      <c r="E156" s="64" t="str">
        <f>IF('Bill Master List'!F13="Yes",'Bill Master List'!E13,"")</f>
        <v>Entertainment</v>
      </c>
      <c r="F156" s="17">
        <f>IF('Bill Master List'!F13="Yes",'Bill Master List'!G13,"")</f>
        <v>25</v>
      </c>
      <c r="G156" s="64">
        <f>IF('Bill Master List'!F13="Yes",'Bill Master List'!H13,"")</f>
        <v>0</v>
      </c>
      <c r="H156" s="19" t="str">
        <f>IF('Bill Master List'!F13="Yes",'Bill Master List'!I13,"")</f>
        <v>Hits credit after 30 days late</v>
      </c>
    </row>
    <row r="157" spans="1:8" x14ac:dyDescent="0.3">
      <c r="A157" s="20" t="str">
        <f>IF('Bill Master List'!F14="Yes",'Bill Master List'!A14,"")</f>
        <v>Affirm</v>
      </c>
      <c r="B157" s="17">
        <f>IF('Bill Master List'!F14="Yes",'Bill Master List'!B14,"")</f>
        <v>30</v>
      </c>
      <c r="C157" s="20">
        <f>IF('Bill Master List'!F14="Yes",'Bill Master List'!C14,"")</f>
        <v>20</v>
      </c>
      <c r="D157" s="20" t="str">
        <f>IF('Bill Master List'!F14="Yes",'Bill Master List'!D14,"")</f>
        <v>Card5</v>
      </c>
      <c r="E157" s="64" t="str">
        <f>IF('Bill Master List'!F14="Yes",'Bill Master List'!E14,"")</f>
        <v>Food</v>
      </c>
      <c r="F157" s="17">
        <f>IF('Bill Master List'!F14="Yes",'Bill Master List'!G14,"")</f>
        <v>0</v>
      </c>
      <c r="G157" s="64">
        <f>IF('Bill Master List'!F14="Yes",'Bill Master List'!H14,"")</f>
        <v>0</v>
      </c>
      <c r="H157" s="19" t="str">
        <f>IF('Bill Master List'!F14="Yes",'Bill Master List'!I14,"")</f>
        <v>No late fee but hits credit at 30 days</v>
      </c>
    </row>
    <row r="158" spans="1:8" ht="28.8" customHeight="1" x14ac:dyDescent="0.3">
      <c r="A158" s="20" t="str">
        <f>IF('Bill Master List'!F15="Yes",'Bill Master List'!A15,"")</f>
        <v>NTTA</v>
      </c>
      <c r="B158" s="17">
        <f>IF('Bill Master List'!F15="Yes",'Bill Master List'!B15,"")</f>
        <v>600</v>
      </c>
      <c r="C158" s="20">
        <f>IF('Bill Master List'!F15="Yes",'Bill Master List'!C15,"")</f>
        <v>15</v>
      </c>
      <c r="D158" s="20" t="str">
        <f>IF('Bill Master List'!F15="Yes",'Bill Master List'!D15,"")</f>
        <v>Card5</v>
      </c>
      <c r="E158" s="64" t="str">
        <f>IF('Bill Master List'!F15="Yes",'Bill Master List'!E15,"")</f>
        <v>Auto</v>
      </c>
      <c r="F158" s="17">
        <f>IF('Bill Master List'!F15="Yes",'Bill Master List'!G15,"")</f>
        <v>25</v>
      </c>
      <c r="G158" s="64">
        <f>IF('Bill Master List'!F15="Yes",'Bill Master List'!H15,"")</f>
        <v>30</v>
      </c>
      <c r="H158" s="19" t="str">
        <f>IF('Bill Master List'!F15="Yes",'Bill Master List'!I15,"")</f>
        <v>Can block vehicle registration. TxTag balance required.</v>
      </c>
    </row>
    <row r="159" spans="1:8" x14ac:dyDescent="0.3">
      <c r="A159" s="20" t="str">
        <f>IF('Bill Master List'!F16="Yes",'Bill Master List'!A16,"")</f>
        <v/>
      </c>
      <c r="B159" s="17" t="str">
        <f>IF('Bill Master List'!F16="Yes",'Bill Master List'!B16,"")</f>
        <v/>
      </c>
      <c r="C159" s="20" t="str">
        <f>IF('Bill Master List'!F16="Yes",'Bill Master List'!C16,"")</f>
        <v/>
      </c>
      <c r="D159" s="20" t="str">
        <f>IF('Bill Master List'!F16="Yes",'Bill Master List'!D16,"")</f>
        <v/>
      </c>
      <c r="E159" s="64" t="str">
        <f>IF('Bill Master List'!F16="Yes",'Bill Master List'!E16,"")</f>
        <v/>
      </c>
      <c r="F159" s="17" t="str">
        <f>IF('Bill Master List'!F16="Yes",'Bill Master List'!G16,"")</f>
        <v/>
      </c>
      <c r="G159" s="64" t="str">
        <f>IF('Bill Master List'!F16="Yes",'Bill Master List'!H16,"")</f>
        <v/>
      </c>
      <c r="H159" s="19" t="str">
        <f>IF('Bill Master List'!F16="Yes",'Bill Master List'!I16,"")</f>
        <v/>
      </c>
    </row>
    <row r="160" spans="1:8" x14ac:dyDescent="0.3">
      <c r="A160" s="20" t="str">
        <f>IF('Bill Master List'!F17="Yes",'Bill Master List'!A17,"")</f>
        <v/>
      </c>
      <c r="B160" s="17" t="str">
        <f>IF('Bill Master List'!F17="Yes",'Bill Master List'!B17,"")</f>
        <v/>
      </c>
      <c r="C160" s="20" t="str">
        <f>IF('Bill Master List'!F17="Yes",'Bill Master List'!C17,"")</f>
        <v/>
      </c>
      <c r="D160" s="20" t="str">
        <f>IF('Bill Master List'!F17="Yes",'Bill Master List'!D17,"")</f>
        <v/>
      </c>
      <c r="E160" s="64" t="str">
        <f>IF('Bill Master List'!F17="Yes",'Bill Master List'!E17,"")</f>
        <v/>
      </c>
      <c r="F160" s="17" t="str">
        <f>IF('Bill Master List'!F17="Yes",'Bill Master List'!G17,"")</f>
        <v/>
      </c>
      <c r="G160" s="64" t="str">
        <f>IF('Bill Master List'!F17="Yes",'Bill Master List'!H17,"")</f>
        <v/>
      </c>
      <c r="H160" s="19" t="str">
        <f>IF('Bill Master List'!F17="Yes",'Bill Master List'!I17,"")</f>
        <v/>
      </c>
    </row>
    <row r="161" spans="1:8" x14ac:dyDescent="0.3">
      <c r="A161" s="20" t="str">
        <f>IF('Bill Master List'!F18="Yes",'Bill Master List'!A18,"")</f>
        <v/>
      </c>
      <c r="B161" s="17" t="str">
        <f>IF('Bill Master List'!F18="Yes",'Bill Master List'!B18,"")</f>
        <v/>
      </c>
      <c r="C161" s="20" t="str">
        <f>IF('Bill Master List'!F18="Yes",'Bill Master List'!C18,"")</f>
        <v/>
      </c>
      <c r="D161" s="20" t="str">
        <f>IF('Bill Master List'!F18="Yes",'Bill Master List'!D18,"")</f>
        <v/>
      </c>
      <c r="E161" s="64" t="str">
        <f>IF('Bill Master List'!F18="Yes",'Bill Master List'!E18,"")</f>
        <v/>
      </c>
      <c r="F161" s="17" t="str">
        <f>IF('Bill Master List'!F18="Yes",'Bill Master List'!G18,"")</f>
        <v/>
      </c>
      <c r="G161" s="64" t="str">
        <f>IF('Bill Master List'!F18="Yes",'Bill Master List'!H18,"")</f>
        <v/>
      </c>
      <c r="H161" s="19" t="str">
        <f>IF('Bill Master List'!F18="Yes",'Bill Master List'!I18,"")</f>
        <v/>
      </c>
    </row>
    <row r="162" spans="1:8" x14ac:dyDescent="0.3">
      <c r="A162" s="20" t="str">
        <f>IF('Bill Master List'!F19="Yes",'Bill Master List'!A19,"")</f>
        <v/>
      </c>
      <c r="B162" s="17" t="str">
        <f>IF('Bill Master List'!F19="Yes",'Bill Master List'!B19,"")</f>
        <v/>
      </c>
      <c r="C162" s="20" t="str">
        <f>IF('Bill Master List'!F19="Yes",'Bill Master List'!C19,"")</f>
        <v/>
      </c>
      <c r="D162" s="20" t="str">
        <f>IF('Bill Master List'!F19="Yes",'Bill Master List'!D19,"")</f>
        <v/>
      </c>
      <c r="E162" s="64" t="str">
        <f>IF('Bill Master List'!F19="Yes",'Bill Master List'!E19,"")</f>
        <v/>
      </c>
      <c r="F162" s="17" t="str">
        <f>IF('Bill Master List'!F19="Yes",'Bill Master List'!G19,"")</f>
        <v/>
      </c>
      <c r="G162" s="64" t="str">
        <f>IF('Bill Master List'!F19="Yes",'Bill Master List'!H19,"")</f>
        <v/>
      </c>
      <c r="H162" s="19" t="str">
        <f>IF('Bill Master List'!F19="Yes",'Bill Master List'!I19,"")</f>
        <v/>
      </c>
    </row>
    <row r="163" spans="1:8" x14ac:dyDescent="0.3">
      <c r="A163" s="20" t="str">
        <f>IF('Bill Master List'!F20="Yes",'Bill Master List'!A20,"")</f>
        <v/>
      </c>
      <c r="B163" s="17" t="str">
        <f>IF('Bill Master List'!F20="Yes",'Bill Master List'!B20,"")</f>
        <v/>
      </c>
      <c r="C163" s="20" t="str">
        <f>IF('Bill Master List'!F20="Yes",'Bill Master List'!C20,"")</f>
        <v/>
      </c>
      <c r="D163" s="20" t="str">
        <f>IF('Bill Master List'!F20="Yes",'Bill Master List'!D20,"")</f>
        <v/>
      </c>
      <c r="E163" s="64" t="str">
        <f>IF('Bill Master List'!F20="Yes",'Bill Master List'!E20,"")</f>
        <v/>
      </c>
      <c r="F163" s="17" t="str">
        <f>IF('Bill Master List'!F20="Yes",'Bill Master List'!G20,"")</f>
        <v/>
      </c>
      <c r="G163" s="64" t="str">
        <f>IF('Bill Master List'!F20="Yes",'Bill Master List'!H20,"")</f>
        <v/>
      </c>
      <c r="H163" s="19" t="str">
        <f>IF('Bill Master List'!F20="Yes",'Bill Master List'!I20,"")</f>
        <v/>
      </c>
    </row>
    <row r="164" spans="1:8" x14ac:dyDescent="0.3">
      <c r="A164" s="20" t="str">
        <f>IF('Bill Master List'!F21="Yes",'Bill Master List'!A21,"")</f>
        <v/>
      </c>
      <c r="B164" s="17" t="str">
        <f>IF('Bill Master List'!F21="Yes",'Bill Master List'!B21,"")</f>
        <v/>
      </c>
      <c r="C164" s="20" t="str">
        <f>IF('Bill Master List'!F21="Yes",'Bill Master List'!C21,"")</f>
        <v/>
      </c>
      <c r="D164" s="20" t="str">
        <f>IF('Bill Master List'!F21="Yes",'Bill Master List'!D21,"")</f>
        <v/>
      </c>
      <c r="E164" s="64" t="str">
        <f>IF('Bill Master List'!F21="Yes",'Bill Master List'!E21,"")</f>
        <v/>
      </c>
      <c r="F164" s="17" t="str">
        <f>IF('Bill Master List'!F21="Yes",'Bill Master List'!G21,"")</f>
        <v/>
      </c>
      <c r="G164" s="64" t="str">
        <f>IF('Bill Master List'!F21="Yes",'Bill Master List'!H21,"")</f>
        <v/>
      </c>
      <c r="H164" s="19" t="str">
        <f>IF('Bill Master List'!F21="Yes",'Bill Master List'!I21,"")</f>
        <v/>
      </c>
    </row>
    <row r="165" spans="1:8" x14ac:dyDescent="0.3">
      <c r="A165" s="20" t="str">
        <f>IF('Bill Master List'!F22="Yes",'Bill Master List'!A22,"")</f>
        <v/>
      </c>
      <c r="B165" s="17" t="str">
        <f>IF('Bill Master List'!F22="Yes",'Bill Master List'!B22,"")</f>
        <v/>
      </c>
      <c r="C165" s="20" t="str">
        <f>IF('Bill Master List'!F22="Yes",'Bill Master List'!C22,"")</f>
        <v/>
      </c>
      <c r="D165" s="20" t="str">
        <f>IF('Bill Master List'!F22="Yes",'Bill Master List'!D22,"")</f>
        <v/>
      </c>
      <c r="E165" s="64" t="str">
        <f>IF('Bill Master List'!F22="Yes",'Bill Master List'!E22,"")</f>
        <v/>
      </c>
      <c r="F165" s="17" t="str">
        <f>IF('Bill Master List'!F22="Yes",'Bill Master List'!G22,"")</f>
        <v/>
      </c>
      <c r="G165" s="64" t="str">
        <f>IF('Bill Master List'!F22="Yes",'Bill Master List'!H22,"")</f>
        <v/>
      </c>
      <c r="H165" s="19" t="str">
        <f>IF('Bill Master List'!F22="Yes",'Bill Master List'!I22,"")</f>
        <v/>
      </c>
    </row>
    <row r="166" spans="1:8" x14ac:dyDescent="0.3">
      <c r="A166" s="20" t="str">
        <f>IF('Bill Master List'!F23="Yes",'Bill Master List'!A23,"")</f>
        <v/>
      </c>
      <c r="B166" s="17" t="str">
        <f>IF('Bill Master List'!F23="Yes",'Bill Master List'!B23,"")</f>
        <v/>
      </c>
      <c r="C166" s="20" t="str">
        <f>IF('Bill Master List'!F23="Yes",'Bill Master List'!C23,"")</f>
        <v/>
      </c>
      <c r="D166" s="20" t="str">
        <f>IF('Bill Master List'!F23="Yes",'Bill Master List'!D23,"")</f>
        <v/>
      </c>
      <c r="E166" s="64" t="str">
        <f>IF('Bill Master List'!F23="Yes",'Bill Master List'!E23,"")</f>
        <v/>
      </c>
      <c r="F166" s="17" t="str">
        <f>IF('Bill Master List'!F23="Yes",'Bill Master List'!G23,"")</f>
        <v/>
      </c>
      <c r="G166" s="64" t="str">
        <f>IF('Bill Master List'!F23="Yes",'Bill Master List'!H23,"")</f>
        <v/>
      </c>
      <c r="H166" s="19" t="str">
        <f>IF('Bill Master List'!F23="Yes",'Bill Master List'!I23,"")</f>
        <v/>
      </c>
    </row>
    <row r="167" spans="1:8" x14ac:dyDescent="0.3">
      <c r="A167" s="20" t="str">
        <f>IF('Bill Master List'!F24="Yes",'Bill Master List'!A24,"")</f>
        <v/>
      </c>
      <c r="B167" s="17" t="str">
        <f>IF('Bill Master List'!F24="Yes",'Bill Master List'!B24,"")</f>
        <v/>
      </c>
      <c r="C167" s="20" t="str">
        <f>IF('Bill Master List'!F24="Yes",'Bill Master List'!C24,"")</f>
        <v/>
      </c>
      <c r="D167" s="20" t="str">
        <f>IF('Bill Master List'!F24="Yes",'Bill Master List'!D24,"")</f>
        <v/>
      </c>
      <c r="E167" s="64" t="str">
        <f>IF('Bill Master List'!F24="Yes",'Bill Master List'!E24,"")</f>
        <v/>
      </c>
      <c r="F167" s="17" t="str">
        <f>IF('Bill Master List'!F24="Yes",'Bill Master List'!G24,"")</f>
        <v/>
      </c>
      <c r="G167" s="64" t="str">
        <f>IF('Bill Master List'!F24="Yes",'Bill Master List'!H24,"")</f>
        <v/>
      </c>
      <c r="H167" s="19" t="str">
        <f>IF('Bill Master List'!F24="Yes",'Bill Master List'!I24,"")</f>
        <v/>
      </c>
    </row>
    <row r="168" spans="1:8" x14ac:dyDescent="0.3">
      <c r="A168" s="20" t="str">
        <f>IF('Bill Master List'!F25="Yes",'Bill Master List'!A25,"")</f>
        <v/>
      </c>
      <c r="B168" s="17" t="str">
        <f>IF('Bill Master List'!F25="Yes",'Bill Master List'!B25,"")</f>
        <v/>
      </c>
      <c r="C168" s="20" t="str">
        <f>IF('Bill Master List'!F25="Yes",'Bill Master List'!C25,"")</f>
        <v/>
      </c>
      <c r="D168" s="20" t="str">
        <f>IF('Bill Master List'!F25="Yes",'Bill Master List'!D25,"")</f>
        <v/>
      </c>
      <c r="E168" s="64" t="str">
        <f>IF('Bill Master List'!F25="Yes",'Bill Master List'!E25,"")</f>
        <v/>
      </c>
      <c r="F168" s="17" t="str">
        <f>IF('Bill Master List'!F25="Yes",'Bill Master List'!G25,"")</f>
        <v/>
      </c>
      <c r="G168" s="64" t="str">
        <f>IF('Bill Master List'!F25="Yes",'Bill Master List'!H25,"")</f>
        <v/>
      </c>
      <c r="H168" s="19" t="str">
        <f>IF('Bill Master List'!F25="Yes",'Bill Master List'!I25,"")</f>
        <v/>
      </c>
    </row>
    <row r="169" spans="1:8" x14ac:dyDescent="0.3">
      <c r="A169" s="20" t="str">
        <f>IF('Bill Master List'!F26="Yes",'Bill Master List'!A26,"")</f>
        <v/>
      </c>
      <c r="B169" s="17" t="str">
        <f>IF('Bill Master List'!F26="Yes",'Bill Master List'!B26,"")</f>
        <v/>
      </c>
      <c r="C169" s="20" t="str">
        <f>IF('Bill Master List'!F26="Yes",'Bill Master List'!C26,"")</f>
        <v/>
      </c>
      <c r="D169" s="20" t="str">
        <f>IF('Bill Master List'!F26="Yes",'Bill Master List'!D26,"")</f>
        <v/>
      </c>
      <c r="E169" s="64" t="str">
        <f>IF('Bill Master List'!F26="Yes",'Bill Master List'!E26,"")</f>
        <v/>
      </c>
      <c r="F169" s="17" t="str">
        <f>IF('Bill Master List'!F26="Yes",'Bill Master List'!G26,"")</f>
        <v/>
      </c>
      <c r="G169" s="64" t="str">
        <f>IF('Bill Master List'!F26="Yes",'Bill Master List'!H26,"")</f>
        <v/>
      </c>
      <c r="H169" s="19" t="str">
        <f>IF('Bill Master List'!F26="Yes",'Bill Master List'!I26,"")</f>
        <v/>
      </c>
    </row>
    <row r="170" spans="1:8" x14ac:dyDescent="0.3">
      <c r="A170" s="20" t="str">
        <f>IF('Bill Master List'!F27="Yes",'Bill Master List'!A27,"")</f>
        <v/>
      </c>
      <c r="B170" s="17" t="str">
        <f>IF('Bill Master List'!F27="Yes",'Bill Master List'!B27,"")</f>
        <v/>
      </c>
      <c r="C170" s="20" t="str">
        <f>IF('Bill Master List'!F27="Yes",'Bill Master List'!C27,"")</f>
        <v/>
      </c>
      <c r="D170" s="20" t="str">
        <f>IF('Bill Master List'!F27="Yes",'Bill Master List'!D27,"")</f>
        <v/>
      </c>
      <c r="E170" s="64" t="str">
        <f>IF('Bill Master List'!F27="Yes",'Bill Master List'!E27,"")</f>
        <v/>
      </c>
      <c r="F170" s="17" t="str">
        <f>IF('Bill Master List'!F27="Yes",'Bill Master List'!G27,"")</f>
        <v/>
      </c>
      <c r="G170" s="64" t="str">
        <f>IF('Bill Master List'!F27="Yes",'Bill Master List'!H27,"")</f>
        <v/>
      </c>
      <c r="H170" s="19" t="str">
        <f>IF('Bill Master List'!F27="Yes",'Bill Master List'!I27,"")</f>
        <v/>
      </c>
    </row>
    <row r="171" spans="1:8" x14ac:dyDescent="0.3">
      <c r="A171" s="20" t="str">
        <f>IF('Bill Master List'!F28="Yes",'Bill Master List'!A28,"")</f>
        <v/>
      </c>
      <c r="B171" s="17" t="str">
        <f>IF('Bill Master List'!F28="Yes",'Bill Master List'!B28,"")</f>
        <v/>
      </c>
      <c r="C171" s="20" t="str">
        <f>IF('Bill Master List'!F28="Yes",'Bill Master List'!C28,"")</f>
        <v/>
      </c>
      <c r="D171" s="20" t="str">
        <f>IF('Bill Master List'!F28="Yes",'Bill Master List'!D28,"")</f>
        <v/>
      </c>
      <c r="E171" s="64" t="str">
        <f>IF('Bill Master List'!F28="Yes",'Bill Master List'!E28,"")</f>
        <v/>
      </c>
      <c r="F171" s="17" t="str">
        <f>IF('Bill Master List'!F28="Yes",'Bill Master List'!G28,"")</f>
        <v/>
      </c>
      <c r="G171" s="64" t="str">
        <f>IF('Bill Master List'!F28="Yes",'Bill Master List'!H28,"")</f>
        <v/>
      </c>
      <c r="H171" s="19" t="str">
        <f>IF('Bill Master List'!F28="Yes",'Bill Master List'!I28,"")</f>
        <v/>
      </c>
    </row>
    <row r="172" spans="1:8" x14ac:dyDescent="0.3">
      <c r="A172" s="20" t="str">
        <f>IF('Bill Master List'!F29="Yes",'Bill Master List'!A29,"")</f>
        <v/>
      </c>
      <c r="B172" s="17" t="str">
        <f>IF('Bill Master List'!F29="Yes",'Bill Master List'!B29,"")</f>
        <v/>
      </c>
      <c r="C172" s="20" t="str">
        <f>IF('Bill Master List'!F29="Yes",'Bill Master List'!C29,"")</f>
        <v/>
      </c>
      <c r="D172" s="20" t="str">
        <f>IF('Bill Master List'!F29="Yes",'Bill Master List'!D29,"")</f>
        <v/>
      </c>
      <c r="E172" s="64" t="str">
        <f>IF('Bill Master List'!F29="Yes",'Bill Master List'!E29,"")</f>
        <v/>
      </c>
      <c r="F172" s="17" t="str">
        <f>IF('Bill Master List'!F29="Yes",'Bill Master List'!G29,"")</f>
        <v/>
      </c>
      <c r="G172" s="64" t="str">
        <f>IF('Bill Master List'!F29="Yes",'Bill Master List'!H29,"")</f>
        <v/>
      </c>
      <c r="H172" s="19" t="str">
        <f>IF('Bill Master List'!F29="Yes",'Bill Master List'!I29,"")</f>
        <v/>
      </c>
    </row>
    <row r="173" spans="1:8" x14ac:dyDescent="0.3">
      <c r="A173" s="20" t="str">
        <f>IF('Bill Master List'!F30="Yes",'Bill Master List'!A30,"")</f>
        <v/>
      </c>
      <c r="B173" s="17" t="str">
        <f>IF('Bill Master List'!F30="Yes",'Bill Master List'!B30,"")</f>
        <v/>
      </c>
      <c r="C173" s="20" t="str">
        <f>IF('Bill Master List'!F30="Yes",'Bill Master List'!C30,"")</f>
        <v/>
      </c>
      <c r="D173" s="20" t="str">
        <f>IF('Bill Master List'!F30="Yes",'Bill Master List'!D30,"")</f>
        <v/>
      </c>
      <c r="E173" s="64" t="str">
        <f>IF('Bill Master List'!F30="Yes",'Bill Master List'!E30,"")</f>
        <v/>
      </c>
      <c r="F173" s="17" t="str">
        <f>IF('Bill Master List'!F30="Yes",'Bill Master List'!G30,"")</f>
        <v/>
      </c>
      <c r="G173" s="64" t="str">
        <f>IF('Bill Master List'!F30="Yes",'Bill Master List'!H30,"")</f>
        <v/>
      </c>
      <c r="H173" s="19" t="str">
        <f>IF('Bill Master List'!F30="Yes",'Bill Master List'!I30,"")</f>
        <v/>
      </c>
    </row>
    <row r="174" spans="1:8" x14ac:dyDescent="0.3">
      <c r="A174" s="20" t="str">
        <f>IF('Bill Master List'!F31="Yes",'Bill Master List'!A31,"")</f>
        <v/>
      </c>
      <c r="B174" s="17" t="str">
        <f>IF('Bill Master List'!F31="Yes",'Bill Master List'!B31,"")</f>
        <v/>
      </c>
      <c r="C174" s="20" t="str">
        <f>IF('Bill Master List'!F31="Yes",'Bill Master List'!C31,"")</f>
        <v/>
      </c>
      <c r="D174" s="20" t="str">
        <f>IF('Bill Master List'!F31="Yes",'Bill Master List'!D31,"")</f>
        <v/>
      </c>
      <c r="E174" s="64" t="str">
        <f>IF('Bill Master List'!F31="Yes",'Bill Master List'!E31,"")</f>
        <v/>
      </c>
      <c r="F174" s="17" t="str">
        <f>IF('Bill Master List'!F31="Yes",'Bill Master List'!G31,"")</f>
        <v/>
      </c>
      <c r="G174" s="64" t="str">
        <f>IF('Bill Master List'!F31="Yes",'Bill Master List'!H31,"")</f>
        <v/>
      </c>
      <c r="H174" s="19" t="str">
        <f>IF('Bill Master List'!F31="Yes",'Bill Master List'!I31,"")</f>
        <v/>
      </c>
    </row>
    <row r="175" spans="1:8" x14ac:dyDescent="0.3">
      <c r="A175" s="20" t="str">
        <f>IF('Bill Master List'!F32="Yes",'Bill Master List'!A32,"")</f>
        <v/>
      </c>
      <c r="B175" s="17" t="str">
        <f>IF('Bill Master List'!F32="Yes",'Bill Master List'!B32,"")</f>
        <v/>
      </c>
      <c r="C175" s="20" t="str">
        <f>IF('Bill Master List'!F32="Yes",'Bill Master List'!C32,"")</f>
        <v/>
      </c>
      <c r="D175" s="20" t="str">
        <f>IF('Bill Master List'!F32="Yes",'Bill Master List'!D32,"")</f>
        <v/>
      </c>
      <c r="E175" s="64" t="str">
        <f>IF('Bill Master List'!F32="Yes",'Bill Master List'!E32,"")</f>
        <v/>
      </c>
      <c r="F175" s="17" t="str">
        <f>IF('Bill Master List'!F32="Yes",'Bill Master List'!G32,"")</f>
        <v/>
      </c>
      <c r="G175" s="64" t="str">
        <f>IF('Bill Master List'!F32="Yes",'Bill Master List'!H32,"")</f>
        <v/>
      </c>
      <c r="H175" s="19" t="str">
        <f>IF('Bill Master List'!F32="Yes",'Bill Master List'!I32,"")</f>
        <v/>
      </c>
    </row>
    <row r="176" spans="1:8" x14ac:dyDescent="0.3">
      <c r="A176" s="22" t="s">
        <v>172</v>
      </c>
      <c r="B176" s="23" t="s">
        <v>173</v>
      </c>
      <c r="C176" s="23" t="s">
        <v>174</v>
      </c>
      <c r="D176" s="23" t="s">
        <v>175</v>
      </c>
      <c r="E176" s="68" t="s">
        <v>176</v>
      </c>
      <c r="F176" s="23" t="s">
        <v>177</v>
      </c>
      <c r="G176" s="65" t="s">
        <v>178</v>
      </c>
      <c r="H176" s="24" t="s">
        <v>179</v>
      </c>
    </row>
    <row r="177" spans="1:8" x14ac:dyDescent="0.3">
      <c r="B177" s="25">
        <f>SUMIF(D146:D175,"Card1",B146:B175)</f>
        <v>587</v>
      </c>
      <c r="C177" s="25">
        <f>SUMIF(D146:D175,"Card2",B146:B175)</f>
        <v>398</v>
      </c>
      <c r="D177" s="25">
        <f>SUMIF(D146:D175,"Card3",B146:B175)</f>
        <v>1265</v>
      </c>
      <c r="E177" s="69">
        <f>SUMIF(D146:D175,"Card4",B146:B175)</f>
        <v>200</v>
      </c>
      <c r="F177" s="25">
        <f>SUMIF(D146:D175,"Card5",B146:B175)</f>
        <v>630</v>
      </c>
      <c r="G177" s="66">
        <f>SUM(B146:B175)</f>
        <v>3080</v>
      </c>
      <c r="H177" s="26">
        <f>SUM(F146:F175)</f>
        <v>249</v>
      </c>
    </row>
    <row r="179" spans="1:8" ht="15.6" customHeight="1" x14ac:dyDescent="0.3">
      <c r="A179" s="98" t="s">
        <v>184</v>
      </c>
      <c r="B179" s="86"/>
      <c r="C179" s="86"/>
      <c r="D179" s="86"/>
      <c r="E179" s="97"/>
      <c r="F179" s="86"/>
      <c r="G179" s="97"/>
      <c r="H179" s="86"/>
    </row>
    <row r="180" spans="1:8" x14ac:dyDescent="0.3">
      <c r="A180" s="21" t="s">
        <v>130</v>
      </c>
      <c r="B180" s="21" t="s">
        <v>131</v>
      </c>
      <c r="C180" s="21" t="s">
        <v>96</v>
      </c>
      <c r="D180" s="21" t="s">
        <v>170</v>
      </c>
      <c r="E180" s="63" t="s">
        <v>133</v>
      </c>
      <c r="F180" s="21" t="s">
        <v>134</v>
      </c>
      <c r="G180" s="63" t="s">
        <v>171</v>
      </c>
      <c r="H180" s="21" t="s">
        <v>136</v>
      </c>
    </row>
    <row r="181" spans="1:8" x14ac:dyDescent="0.3">
      <c r="A181" s="20" t="str">
        <f>IF('Bill Master List'!F3="Yes",'Bill Master List'!A3,"")</f>
        <v>Storage 1</v>
      </c>
      <c r="B181" s="17">
        <f>IF('Bill Master List'!F3="Yes",'Bill Master List'!B3,"")</f>
        <v>478</v>
      </c>
      <c r="C181" s="20">
        <f>IF('Bill Master List'!F3="Yes",'Bill Master List'!C3,"")</f>
        <v>1</v>
      </c>
      <c r="D181" s="20" t="str">
        <f>IF('Bill Master List'!F3="Yes",'Bill Master List'!D3,"")</f>
        <v>Card1</v>
      </c>
      <c r="E181" s="64" t="str">
        <f>IF('Bill Master List'!F3="Yes",'Bill Master List'!E3,"")</f>
        <v>Housing</v>
      </c>
      <c r="F181" s="17">
        <f>IF('Bill Master List'!F3="Yes",'Bill Master List'!G3,"")</f>
        <v>40</v>
      </c>
      <c r="G181" s="64">
        <f>IF('Bill Master List'!F3="Yes",'Bill Master List'!H3,"")</f>
        <v>5</v>
      </c>
      <c r="H181" s="19" t="str">
        <f>IF('Bill Master List'!F3="Yes",'Bill Master List'!I3,"")</f>
        <v>Lien risk after 30 days late</v>
      </c>
    </row>
    <row r="182" spans="1:8" x14ac:dyDescent="0.3">
      <c r="A182" s="20" t="str">
        <f>IF('Bill Master List'!F4="Yes",'Bill Master List'!A4,"")</f>
        <v>Storage 2</v>
      </c>
      <c r="B182" s="17">
        <f>IF('Bill Master List'!F4="Yes",'Bill Master List'!B4,"")</f>
        <v>109</v>
      </c>
      <c r="C182" s="20">
        <f>IF('Bill Master List'!F4="Yes",'Bill Master List'!C4,"")</f>
        <v>1</v>
      </c>
      <c r="D182" s="20" t="str">
        <f>IF('Bill Master List'!F4="Yes",'Bill Master List'!D4,"")</f>
        <v>Card1</v>
      </c>
      <c r="E182" s="64" t="str">
        <f>IF('Bill Master List'!F4="Yes",'Bill Master List'!E4,"")</f>
        <v>Housing</v>
      </c>
      <c r="F182" s="17">
        <f>IF('Bill Master List'!F4="Yes",'Bill Master List'!G4,"")</f>
        <v>25</v>
      </c>
      <c r="G182" s="64">
        <f>IF('Bill Master List'!F4="Yes",'Bill Master List'!H4,"")</f>
        <v>5</v>
      </c>
      <c r="H182" s="19" t="str">
        <f>IF('Bill Master List'!F4="Yes",'Bill Master List'!I4,"")</f>
        <v>Lien risk after 30 days late</v>
      </c>
    </row>
    <row r="183" spans="1:8" x14ac:dyDescent="0.3">
      <c r="A183" s="20" t="str">
        <f>IF('Bill Master List'!F5="Yes",'Bill Master List'!A5,"")</f>
        <v>Storage 3</v>
      </c>
      <c r="B183" s="17">
        <f>IF('Bill Master List'!F5="Yes",'Bill Master List'!B5,"")</f>
        <v>180</v>
      </c>
      <c r="C183" s="20">
        <f>IF('Bill Master List'!F5="Yes",'Bill Master List'!C5,"")</f>
        <v>1</v>
      </c>
      <c r="D183" s="20" t="str">
        <f>IF('Bill Master List'!F5="Yes",'Bill Master List'!D5,"")</f>
        <v>Card2</v>
      </c>
      <c r="E183" s="64" t="str">
        <f>IF('Bill Master List'!F5="Yes",'Bill Master List'!E5,"")</f>
        <v>Housing</v>
      </c>
      <c r="F183" s="17">
        <f>IF('Bill Master List'!F5="Yes",'Bill Master List'!G5,"")</f>
        <v>25</v>
      </c>
      <c r="G183" s="64">
        <f>IF('Bill Master List'!F5="Yes",'Bill Master List'!H5,"")</f>
        <v>5</v>
      </c>
      <c r="H183" s="19" t="str">
        <f>IF('Bill Master List'!F5="Yes",'Bill Master List'!I5,"")</f>
        <v>Lien risk after 30 days late</v>
      </c>
    </row>
    <row r="184" spans="1:8" x14ac:dyDescent="0.3">
      <c r="A184" s="20" t="str">
        <f>IF('Bill Master List'!F6="Yes",'Bill Master List'!A6,"")</f>
        <v>Storage 4</v>
      </c>
      <c r="B184" s="17">
        <f>IF('Bill Master List'!F6="Yes",'Bill Master List'!B6,"")</f>
        <v>98</v>
      </c>
      <c r="C184" s="20">
        <f>IF('Bill Master List'!F6="Yes",'Bill Master List'!C6,"")</f>
        <v>1</v>
      </c>
      <c r="D184" s="20" t="str">
        <f>IF('Bill Master List'!F6="Yes",'Bill Master List'!D6,"")</f>
        <v>Card2</v>
      </c>
      <c r="E184" s="64" t="str">
        <f>IF('Bill Master List'!F6="Yes",'Bill Master List'!E6,"")</f>
        <v>Housing</v>
      </c>
      <c r="F184" s="17">
        <f>IF('Bill Master List'!F6="Yes",'Bill Master List'!G6,"")</f>
        <v>20</v>
      </c>
      <c r="G184" s="64">
        <f>IF('Bill Master List'!F6="Yes",'Bill Master List'!H6,"")</f>
        <v>5</v>
      </c>
      <c r="H184" s="19" t="str">
        <f>IF('Bill Master List'!F6="Yes",'Bill Master List'!I6,"")</f>
        <v>Lien risk after 30 days late</v>
      </c>
    </row>
    <row r="185" spans="1:8" x14ac:dyDescent="0.3">
      <c r="A185" s="20" t="str">
        <f>IF('Bill Master List'!F7="Yes",'Bill Master List'!A7,"")</f>
        <v>Intuit</v>
      </c>
      <c r="B185" s="17">
        <f>IF('Bill Master List'!F7="Yes",'Bill Master List'!B7,"")</f>
        <v>75</v>
      </c>
      <c r="C185" s="20">
        <f>IF('Bill Master List'!F7="Yes",'Bill Master List'!C7,"")</f>
        <v>20</v>
      </c>
      <c r="D185" s="20" t="str">
        <f>IF('Bill Master List'!F7="Yes",'Bill Master List'!D7,"")</f>
        <v>Card2</v>
      </c>
      <c r="E185" s="64" t="str">
        <f>IF('Bill Master List'!F7="Yes",'Bill Master List'!E7,"")</f>
        <v>Utilities</v>
      </c>
      <c r="F185" s="17">
        <f>IF('Bill Master List'!F7="Yes",'Bill Master List'!G7,"")</f>
        <v>0</v>
      </c>
      <c r="G185" s="64">
        <f>IF('Bill Master List'!F7="Yes",'Bill Master List'!H7,"")</f>
        <v>0</v>
      </c>
      <c r="H185" s="19" t="str">
        <f>IF('Bill Master List'!F7="Yes",'Bill Master List'!I7,"")</f>
        <v>Service suspended if unpaid</v>
      </c>
    </row>
    <row r="186" spans="1:8" x14ac:dyDescent="0.3">
      <c r="A186" s="20" t="str">
        <f>IF('Bill Master List'!F8="Yes",'Bill Master List'!A8,"")</f>
        <v>Cell Phone</v>
      </c>
      <c r="B186" s="17">
        <f>IF('Bill Master List'!F8="Yes",'Bill Master List'!B8,"")</f>
        <v>80</v>
      </c>
      <c r="C186" s="20">
        <f>IF('Bill Master List'!F8="Yes",'Bill Master List'!C8,"")</f>
        <v>5</v>
      </c>
      <c r="D186" s="20" t="str">
        <f>IF('Bill Master List'!F8="Yes",'Bill Master List'!D8,"")</f>
        <v>Card3</v>
      </c>
      <c r="E186" s="64" t="str">
        <f>IF('Bill Master List'!F8="Yes",'Bill Master List'!E8,"")</f>
        <v>Phone</v>
      </c>
      <c r="F186" s="17">
        <f>IF('Bill Master List'!F8="Yes",'Bill Master List'!G8,"")</f>
        <v>25</v>
      </c>
      <c r="G186" s="64">
        <f>IF('Bill Master List'!F8="Yes",'Bill Master List'!H8,"")</f>
        <v>0</v>
      </c>
      <c r="H186" s="19" t="str">
        <f>IF('Bill Master List'!F8="Yes",'Bill Master List'!I8,"")</f>
        <v>Service disconnected after 30 days</v>
      </c>
    </row>
    <row r="187" spans="1:8" ht="28.8" customHeight="1" x14ac:dyDescent="0.3">
      <c r="A187" s="20" t="str">
        <f>IF('Bill Master List'!F9="Yes",'Bill Master List'!A9,"")</f>
        <v>Car Payment</v>
      </c>
      <c r="B187" s="17">
        <f>IF('Bill Master List'!F9="Yes",'Bill Master List'!B9,"")</f>
        <v>785</v>
      </c>
      <c r="C187" s="20">
        <f>IF('Bill Master List'!F9="Yes",'Bill Master List'!C9,"")</f>
        <v>24</v>
      </c>
      <c r="D187" s="20" t="str">
        <f>IF('Bill Master List'!F9="Yes",'Bill Master List'!D9,"")</f>
        <v>Card3</v>
      </c>
      <c r="E187" s="64" t="str">
        <f>IF('Bill Master List'!F9="Yes",'Bill Master List'!E9,"")</f>
        <v>Auto</v>
      </c>
      <c r="F187" s="17">
        <f>IF('Bill Master List'!F9="Yes",'Bill Master List'!G9,"")</f>
        <v>39</v>
      </c>
      <c r="G187" s="64">
        <f>IF('Bill Master List'!F9="Yes",'Bill Master List'!H9,"")</f>
        <v>10</v>
      </c>
      <c r="H187" s="19" t="str">
        <f>IF('Bill Master List'!F9="Yes",'Bill Master List'!I9,"")</f>
        <v>Repo risk after 60+ days. Hits credit report at 30 days.</v>
      </c>
    </row>
    <row r="188" spans="1:8" x14ac:dyDescent="0.3">
      <c r="A188" s="20" t="str">
        <f>IF('Bill Master List'!F10="Yes",'Bill Master List'!A10,"")</f>
        <v>Car Insurance</v>
      </c>
      <c r="B188" s="17">
        <f>IF('Bill Master List'!F10="Yes",'Bill Master List'!B10,"")</f>
        <v>0</v>
      </c>
      <c r="C188" s="20">
        <f>IF('Bill Master List'!F10="Yes",'Bill Master List'!C10,"")</f>
        <v>10</v>
      </c>
      <c r="D188" s="20" t="str">
        <f>IF('Bill Master List'!F10="Yes",'Bill Master List'!D10,"")</f>
        <v>Card1</v>
      </c>
      <c r="E188" s="64" t="str">
        <f>IF('Bill Master List'!F10="Yes",'Bill Master List'!E10,"")</f>
        <v>Auto</v>
      </c>
      <c r="F188" s="17">
        <f>IF('Bill Master List'!F10="Yes",'Bill Master List'!G10,"")</f>
        <v>25</v>
      </c>
      <c r="G188" s="64">
        <f>IF('Bill Master List'!F10="Yes",'Bill Master List'!H10,"")</f>
        <v>10</v>
      </c>
      <c r="H188" s="19" t="str">
        <f>IF('Bill Master List'!F10="Yes",'Bill Master List'!I10,"")</f>
        <v>Policy cancellation after lapse</v>
      </c>
    </row>
    <row r="189" spans="1:8" x14ac:dyDescent="0.3">
      <c r="A189" s="20" t="str">
        <f>IF('Bill Master List'!F11="Yes",'Bill Master List'!A11,"")</f>
        <v>Gas/Fuel</v>
      </c>
      <c r="B189" s="17">
        <f>IF('Bill Master List'!F11="Yes",'Bill Master List'!B11,"")</f>
        <v>200</v>
      </c>
      <c r="C189" s="20">
        <f>IF('Bill Master List'!F11="Yes",'Bill Master List'!C11,"")</f>
        <v>15</v>
      </c>
      <c r="D189" s="20" t="str">
        <f>IF('Bill Master List'!F11="Yes",'Bill Master List'!D11,"")</f>
        <v>Card4</v>
      </c>
      <c r="E189" s="64" t="str">
        <f>IF('Bill Master List'!F11="Yes",'Bill Master List'!E11,"")</f>
        <v>Auto</v>
      </c>
      <c r="F189" s="17">
        <f>IF('Bill Master List'!F11="Yes",'Bill Master List'!G11,"")</f>
        <v>0</v>
      </c>
      <c r="G189" s="64">
        <f>IF('Bill Master List'!F11="Yes",'Bill Master List'!H11,"")</f>
        <v>0</v>
      </c>
      <c r="H189" s="19" t="str">
        <f>IF('Bill Master List'!F11="Yes",'Bill Master List'!I11,"")</f>
        <v>Variable expense - no late fee</v>
      </c>
    </row>
    <row r="190" spans="1:8" x14ac:dyDescent="0.3">
      <c r="A190" s="20" t="str">
        <f>IF('Bill Master List'!F12="Yes",'Bill Master List'!A12,"")</f>
        <v>Groceries</v>
      </c>
      <c r="B190" s="17">
        <f>IF('Bill Master List'!F12="Yes",'Bill Master List'!B12,"")</f>
        <v>400</v>
      </c>
      <c r="C190" s="20">
        <f>IF('Bill Master List'!F12="Yes",'Bill Master List'!C12,"")</f>
        <v>1</v>
      </c>
      <c r="D190" s="20" t="str">
        <f>IF('Bill Master List'!F12="Yes",'Bill Master List'!D12,"")</f>
        <v>Card3</v>
      </c>
      <c r="E190" s="64" t="str">
        <f>IF('Bill Master List'!F12="Yes",'Bill Master List'!E12,"")</f>
        <v>Health</v>
      </c>
      <c r="F190" s="17">
        <f>IF('Bill Master List'!F12="Yes",'Bill Master List'!G12,"")</f>
        <v>0</v>
      </c>
      <c r="G190" s="64">
        <f>IF('Bill Master List'!F12="Yes",'Bill Master List'!H12,"")</f>
        <v>0</v>
      </c>
      <c r="H190" s="19" t="str">
        <f>IF('Bill Master List'!F12="Yes",'Bill Master List'!I12,"")</f>
        <v>Variable expense - no late fee</v>
      </c>
    </row>
    <row r="191" spans="1:8" x14ac:dyDescent="0.3">
      <c r="A191" s="20" t="str">
        <f>IF('Bill Master List'!F13="Yes",'Bill Master List'!A13,"")</f>
        <v>Klarna</v>
      </c>
      <c r="B191" s="17">
        <f>IF('Bill Master List'!F13="Yes",'Bill Master List'!B13,"")</f>
        <v>45</v>
      </c>
      <c r="C191" s="20">
        <f>IF('Bill Master List'!F13="Yes",'Bill Master List'!C13,"")</f>
        <v>15</v>
      </c>
      <c r="D191" s="20" t="str">
        <f>IF('Bill Master List'!F13="Yes",'Bill Master List'!D13,"")</f>
        <v>Card2</v>
      </c>
      <c r="E191" s="64" t="str">
        <f>IF('Bill Master List'!F13="Yes",'Bill Master List'!E13,"")</f>
        <v>Entertainment</v>
      </c>
      <c r="F191" s="17">
        <f>IF('Bill Master List'!F13="Yes",'Bill Master List'!G13,"")</f>
        <v>25</v>
      </c>
      <c r="G191" s="64">
        <f>IF('Bill Master List'!F13="Yes",'Bill Master List'!H13,"")</f>
        <v>0</v>
      </c>
      <c r="H191" s="19" t="str">
        <f>IF('Bill Master List'!F13="Yes",'Bill Master List'!I13,"")</f>
        <v>Hits credit after 30 days late</v>
      </c>
    </row>
    <row r="192" spans="1:8" x14ac:dyDescent="0.3">
      <c r="A192" s="20" t="str">
        <f>IF('Bill Master List'!F14="Yes",'Bill Master List'!A14,"")</f>
        <v>Affirm</v>
      </c>
      <c r="B192" s="17">
        <f>IF('Bill Master List'!F14="Yes",'Bill Master List'!B14,"")</f>
        <v>30</v>
      </c>
      <c r="C192" s="20">
        <f>IF('Bill Master List'!F14="Yes",'Bill Master List'!C14,"")</f>
        <v>20</v>
      </c>
      <c r="D192" s="20" t="str">
        <f>IF('Bill Master List'!F14="Yes",'Bill Master List'!D14,"")</f>
        <v>Card5</v>
      </c>
      <c r="E192" s="64" t="str">
        <f>IF('Bill Master List'!F14="Yes",'Bill Master List'!E14,"")</f>
        <v>Food</v>
      </c>
      <c r="F192" s="17">
        <f>IF('Bill Master List'!F14="Yes",'Bill Master List'!G14,"")</f>
        <v>0</v>
      </c>
      <c r="G192" s="64">
        <f>IF('Bill Master List'!F14="Yes",'Bill Master List'!H14,"")</f>
        <v>0</v>
      </c>
      <c r="H192" s="19" t="str">
        <f>IF('Bill Master List'!F14="Yes",'Bill Master List'!I14,"")</f>
        <v>No late fee but hits credit at 30 days</v>
      </c>
    </row>
    <row r="193" spans="1:8" ht="28.8" customHeight="1" x14ac:dyDescent="0.3">
      <c r="A193" s="20" t="str">
        <f>IF('Bill Master List'!F15="Yes",'Bill Master List'!A15,"")</f>
        <v>NTTA</v>
      </c>
      <c r="B193" s="17">
        <f>IF('Bill Master List'!F15="Yes",'Bill Master List'!B15,"")</f>
        <v>600</v>
      </c>
      <c r="C193" s="20">
        <f>IF('Bill Master List'!F15="Yes",'Bill Master List'!C15,"")</f>
        <v>15</v>
      </c>
      <c r="D193" s="20" t="str">
        <f>IF('Bill Master List'!F15="Yes",'Bill Master List'!D15,"")</f>
        <v>Card5</v>
      </c>
      <c r="E193" s="64" t="str">
        <f>IF('Bill Master List'!F15="Yes",'Bill Master List'!E15,"")</f>
        <v>Auto</v>
      </c>
      <c r="F193" s="17">
        <f>IF('Bill Master List'!F15="Yes",'Bill Master List'!G15,"")</f>
        <v>25</v>
      </c>
      <c r="G193" s="64">
        <f>IF('Bill Master List'!F15="Yes",'Bill Master List'!H15,"")</f>
        <v>30</v>
      </c>
      <c r="H193" s="19" t="str">
        <f>IF('Bill Master List'!F15="Yes",'Bill Master List'!I15,"")</f>
        <v>Can block vehicle registration. TxTag balance required.</v>
      </c>
    </row>
    <row r="194" spans="1:8" x14ac:dyDescent="0.3">
      <c r="A194" s="20" t="str">
        <f>IF('Bill Master List'!F16="Yes",'Bill Master List'!A16,"")</f>
        <v/>
      </c>
      <c r="B194" s="17" t="str">
        <f>IF('Bill Master List'!F16="Yes",'Bill Master List'!B16,"")</f>
        <v/>
      </c>
      <c r="C194" s="20" t="str">
        <f>IF('Bill Master List'!F16="Yes",'Bill Master List'!C16,"")</f>
        <v/>
      </c>
      <c r="D194" s="20" t="str">
        <f>IF('Bill Master List'!F16="Yes",'Bill Master List'!D16,"")</f>
        <v/>
      </c>
      <c r="E194" s="64" t="str">
        <f>IF('Bill Master List'!F16="Yes",'Bill Master List'!E16,"")</f>
        <v/>
      </c>
      <c r="F194" s="17" t="str">
        <f>IF('Bill Master List'!F16="Yes",'Bill Master List'!G16,"")</f>
        <v/>
      </c>
      <c r="G194" s="64" t="str">
        <f>IF('Bill Master List'!F16="Yes",'Bill Master List'!H16,"")</f>
        <v/>
      </c>
      <c r="H194" s="19" t="str">
        <f>IF('Bill Master List'!F16="Yes",'Bill Master List'!I16,"")</f>
        <v/>
      </c>
    </row>
    <row r="195" spans="1:8" x14ac:dyDescent="0.3">
      <c r="A195" s="20" t="str">
        <f>IF('Bill Master List'!F17="Yes",'Bill Master List'!A17,"")</f>
        <v/>
      </c>
      <c r="B195" s="17" t="str">
        <f>IF('Bill Master List'!F17="Yes",'Bill Master List'!B17,"")</f>
        <v/>
      </c>
      <c r="C195" s="20" t="str">
        <f>IF('Bill Master List'!F17="Yes",'Bill Master List'!C17,"")</f>
        <v/>
      </c>
      <c r="D195" s="20" t="str">
        <f>IF('Bill Master List'!F17="Yes",'Bill Master List'!D17,"")</f>
        <v/>
      </c>
      <c r="E195" s="64" t="str">
        <f>IF('Bill Master List'!F17="Yes",'Bill Master List'!E17,"")</f>
        <v/>
      </c>
      <c r="F195" s="17" t="str">
        <f>IF('Bill Master List'!F17="Yes",'Bill Master List'!G17,"")</f>
        <v/>
      </c>
      <c r="G195" s="64" t="str">
        <f>IF('Bill Master List'!F17="Yes",'Bill Master List'!H17,"")</f>
        <v/>
      </c>
      <c r="H195" s="19" t="str">
        <f>IF('Bill Master List'!F17="Yes",'Bill Master List'!I17,"")</f>
        <v/>
      </c>
    </row>
    <row r="196" spans="1:8" x14ac:dyDescent="0.3">
      <c r="A196" s="20" t="str">
        <f>IF('Bill Master List'!F18="Yes",'Bill Master List'!A18,"")</f>
        <v/>
      </c>
      <c r="B196" s="17" t="str">
        <f>IF('Bill Master List'!F18="Yes",'Bill Master List'!B18,"")</f>
        <v/>
      </c>
      <c r="C196" s="20" t="str">
        <f>IF('Bill Master List'!F18="Yes",'Bill Master List'!C18,"")</f>
        <v/>
      </c>
      <c r="D196" s="20" t="str">
        <f>IF('Bill Master List'!F18="Yes",'Bill Master List'!D18,"")</f>
        <v/>
      </c>
      <c r="E196" s="64" t="str">
        <f>IF('Bill Master List'!F18="Yes",'Bill Master List'!E18,"")</f>
        <v/>
      </c>
      <c r="F196" s="17" t="str">
        <f>IF('Bill Master List'!F18="Yes",'Bill Master List'!G18,"")</f>
        <v/>
      </c>
      <c r="G196" s="64" t="str">
        <f>IF('Bill Master List'!F18="Yes",'Bill Master List'!H18,"")</f>
        <v/>
      </c>
      <c r="H196" s="19" t="str">
        <f>IF('Bill Master List'!F18="Yes",'Bill Master List'!I18,"")</f>
        <v/>
      </c>
    </row>
    <row r="197" spans="1:8" x14ac:dyDescent="0.3">
      <c r="A197" s="20" t="str">
        <f>IF('Bill Master List'!F19="Yes",'Bill Master List'!A19,"")</f>
        <v/>
      </c>
      <c r="B197" s="17" t="str">
        <f>IF('Bill Master List'!F19="Yes",'Bill Master List'!B19,"")</f>
        <v/>
      </c>
      <c r="C197" s="20" t="str">
        <f>IF('Bill Master List'!F19="Yes",'Bill Master List'!C19,"")</f>
        <v/>
      </c>
      <c r="D197" s="20" t="str">
        <f>IF('Bill Master List'!F19="Yes",'Bill Master List'!D19,"")</f>
        <v/>
      </c>
      <c r="E197" s="64" t="str">
        <f>IF('Bill Master List'!F19="Yes",'Bill Master List'!E19,"")</f>
        <v/>
      </c>
      <c r="F197" s="17" t="str">
        <f>IF('Bill Master List'!F19="Yes",'Bill Master List'!G19,"")</f>
        <v/>
      </c>
      <c r="G197" s="64" t="str">
        <f>IF('Bill Master List'!F19="Yes",'Bill Master List'!H19,"")</f>
        <v/>
      </c>
      <c r="H197" s="19" t="str">
        <f>IF('Bill Master List'!F19="Yes",'Bill Master List'!I19,"")</f>
        <v/>
      </c>
    </row>
    <row r="198" spans="1:8" x14ac:dyDescent="0.3">
      <c r="A198" s="20" t="str">
        <f>IF('Bill Master List'!F20="Yes",'Bill Master List'!A20,"")</f>
        <v/>
      </c>
      <c r="B198" s="17" t="str">
        <f>IF('Bill Master List'!F20="Yes",'Bill Master List'!B20,"")</f>
        <v/>
      </c>
      <c r="C198" s="20" t="str">
        <f>IF('Bill Master List'!F20="Yes",'Bill Master List'!C20,"")</f>
        <v/>
      </c>
      <c r="D198" s="20" t="str">
        <f>IF('Bill Master List'!F20="Yes",'Bill Master List'!D20,"")</f>
        <v/>
      </c>
      <c r="E198" s="64" t="str">
        <f>IF('Bill Master List'!F20="Yes",'Bill Master List'!E20,"")</f>
        <v/>
      </c>
      <c r="F198" s="17" t="str">
        <f>IF('Bill Master List'!F20="Yes",'Bill Master List'!G20,"")</f>
        <v/>
      </c>
      <c r="G198" s="64" t="str">
        <f>IF('Bill Master List'!F20="Yes",'Bill Master List'!H20,"")</f>
        <v/>
      </c>
      <c r="H198" s="19" t="str">
        <f>IF('Bill Master List'!F20="Yes",'Bill Master List'!I20,"")</f>
        <v/>
      </c>
    </row>
    <row r="199" spans="1:8" x14ac:dyDescent="0.3">
      <c r="A199" s="20" t="str">
        <f>IF('Bill Master List'!F21="Yes",'Bill Master List'!A21,"")</f>
        <v/>
      </c>
      <c r="B199" s="17" t="str">
        <f>IF('Bill Master List'!F21="Yes",'Bill Master List'!B21,"")</f>
        <v/>
      </c>
      <c r="C199" s="20" t="str">
        <f>IF('Bill Master List'!F21="Yes",'Bill Master List'!C21,"")</f>
        <v/>
      </c>
      <c r="D199" s="20" t="str">
        <f>IF('Bill Master List'!F21="Yes",'Bill Master List'!D21,"")</f>
        <v/>
      </c>
      <c r="E199" s="64" t="str">
        <f>IF('Bill Master List'!F21="Yes",'Bill Master List'!E21,"")</f>
        <v/>
      </c>
      <c r="F199" s="17" t="str">
        <f>IF('Bill Master List'!F21="Yes",'Bill Master List'!G21,"")</f>
        <v/>
      </c>
      <c r="G199" s="64" t="str">
        <f>IF('Bill Master List'!F21="Yes",'Bill Master List'!H21,"")</f>
        <v/>
      </c>
      <c r="H199" s="19" t="str">
        <f>IF('Bill Master List'!F21="Yes",'Bill Master List'!I21,"")</f>
        <v/>
      </c>
    </row>
    <row r="200" spans="1:8" x14ac:dyDescent="0.3">
      <c r="A200" s="20" t="str">
        <f>IF('Bill Master List'!F22="Yes",'Bill Master List'!A22,"")</f>
        <v/>
      </c>
      <c r="B200" s="17" t="str">
        <f>IF('Bill Master List'!F22="Yes",'Bill Master List'!B22,"")</f>
        <v/>
      </c>
      <c r="C200" s="20" t="str">
        <f>IF('Bill Master List'!F22="Yes",'Bill Master List'!C22,"")</f>
        <v/>
      </c>
      <c r="D200" s="20" t="str">
        <f>IF('Bill Master List'!F22="Yes",'Bill Master List'!D22,"")</f>
        <v/>
      </c>
      <c r="E200" s="64" t="str">
        <f>IF('Bill Master List'!F22="Yes",'Bill Master List'!E22,"")</f>
        <v/>
      </c>
      <c r="F200" s="17" t="str">
        <f>IF('Bill Master List'!F22="Yes",'Bill Master List'!G22,"")</f>
        <v/>
      </c>
      <c r="G200" s="64" t="str">
        <f>IF('Bill Master List'!F22="Yes",'Bill Master List'!H22,"")</f>
        <v/>
      </c>
      <c r="H200" s="19" t="str">
        <f>IF('Bill Master List'!F22="Yes",'Bill Master List'!I22,"")</f>
        <v/>
      </c>
    </row>
    <row r="201" spans="1:8" x14ac:dyDescent="0.3">
      <c r="A201" s="20" t="str">
        <f>IF('Bill Master List'!F23="Yes",'Bill Master List'!A23,"")</f>
        <v/>
      </c>
      <c r="B201" s="17" t="str">
        <f>IF('Bill Master List'!F23="Yes",'Bill Master List'!B23,"")</f>
        <v/>
      </c>
      <c r="C201" s="20" t="str">
        <f>IF('Bill Master List'!F23="Yes",'Bill Master List'!C23,"")</f>
        <v/>
      </c>
      <c r="D201" s="20" t="str">
        <f>IF('Bill Master List'!F23="Yes",'Bill Master List'!D23,"")</f>
        <v/>
      </c>
      <c r="E201" s="64" t="str">
        <f>IF('Bill Master List'!F23="Yes",'Bill Master List'!E23,"")</f>
        <v/>
      </c>
      <c r="F201" s="17" t="str">
        <f>IF('Bill Master List'!F23="Yes",'Bill Master List'!G23,"")</f>
        <v/>
      </c>
      <c r="G201" s="64" t="str">
        <f>IF('Bill Master List'!F23="Yes",'Bill Master List'!H23,"")</f>
        <v/>
      </c>
      <c r="H201" s="19" t="str">
        <f>IF('Bill Master List'!F23="Yes",'Bill Master List'!I23,"")</f>
        <v/>
      </c>
    </row>
    <row r="202" spans="1:8" x14ac:dyDescent="0.3">
      <c r="A202" s="20" t="str">
        <f>IF('Bill Master List'!F24="Yes",'Bill Master List'!A24,"")</f>
        <v/>
      </c>
      <c r="B202" s="17" t="str">
        <f>IF('Bill Master List'!F24="Yes",'Bill Master List'!B24,"")</f>
        <v/>
      </c>
      <c r="C202" s="20" t="str">
        <f>IF('Bill Master List'!F24="Yes",'Bill Master List'!C24,"")</f>
        <v/>
      </c>
      <c r="D202" s="20" t="str">
        <f>IF('Bill Master List'!F24="Yes",'Bill Master List'!D24,"")</f>
        <v/>
      </c>
      <c r="E202" s="64" t="str">
        <f>IF('Bill Master List'!F24="Yes",'Bill Master List'!E24,"")</f>
        <v/>
      </c>
      <c r="F202" s="17" t="str">
        <f>IF('Bill Master List'!F24="Yes",'Bill Master List'!G24,"")</f>
        <v/>
      </c>
      <c r="G202" s="64" t="str">
        <f>IF('Bill Master List'!F24="Yes",'Bill Master List'!H24,"")</f>
        <v/>
      </c>
      <c r="H202" s="19" t="str">
        <f>IF('Bill Master List'!F24="Yes",'Bill Master List'!I24,"")</f>
        <v/>
      </c>
    </row>
    <row r="203" spans="1:8" x14ac:dyDescent="0.3">
      <c r="A203" s="20" t="str">
        <f>IF('Bill Master List'!F25="Yes",'Bill Master List'!A25,"")</f>
        <v/>
      </c>
      <c r="B203" s="17" t="str">
        <f>IF('Bill Master List'!F25="Yes",'Bill Master List'!B25,"")</f>
        <v/>
      </c>
      <c r="C203" s="20" t="str">
        <f>IF('Bill Master List'!F25="Yes",'Bill Master List'!C25,"")</f>
        <v/>
      </c>
      <c r="D203" s="20" t="str">
        <f>IF('Bill Master List'!F25="Yes",'Bill Master List'!D25,"")</f>
        <v/>
      </c>
      <c r="E203" s="64" t="str">
        <f>IF('Bill Master List'!F25="Yes",'Bill Master List'!E25,"")</f>
        <v/>
      </c>
      <c r="F203" s="17" t="str">
        <f>IF('Bill Master List'!F25="Yes",'Bill Master List'!G25,"")</f>
        <v/>
      </c>
      <c r="G203" s="64" t="str">
        <f>IF('Bill Master List'!F25="Yes",'Bill Master List'!H25,"")</f>
        <v/>
      </c>
      <c r="H203" s="19" t="str">
        <f>IF('Bill Master List'!F25="Yes",'Bill Master List'!I25,"")</f>
        <v/>
      </c>
    </row>
    <row r="204" spans="1:8" x14ac:dyDescent="0.3">
      <c r="A204" s="20" t="str">
        <f>IF('Bill Master List'!F26="Yes",'Bill Master List'!A26,"")</f>
        <v/>
      </c>
      <c r="B204" s="17" t="str">
        <f>IF('Bill Master List'!F26="Yes",'Bill Master List'!B26,"")</f>
        <v/>
      </c>
      <c r="C204" s="20" t="str">
        <f>IF('Bill Master List'!F26="Yes",'Bill Master List'!C26,"")</f>
        <v/>
      </c>
      <c r="D204" s="20" t="str">
        <f>IF('Bill Master List'!F26="Yes",'Bill Master List'!D26,"")</f>
        <v/>
      </c>
      <c r="E204" s="64" t="str">
        <f>IF('Bill Master List'!F26="Yes",'Bill Master List'!E26,"")</f>
        <v/>
      </c>
      <c r="F204" s="17" t="str">
        <f>IF('Bill Master List'!F26="Yes",'Bill Master List'!G26,"")</f>
        <v/>
      </c>
      <c r="G204" s="64" t="str">
        <f>IF('Bill Master List'!F26="Yes",'Bill Master List'!H26,"")</f>
        <v/>
      </c>
      <c r="H204" s="19" t="str">
        <f>IF('Bill Master List'!F26="Yes",'Bill Master List'!I26,"")</f>
        <v/>
      </c>
    </row>
    <row r="205" spans="1:8" x14ac:dyDescent="0.3">
      <c r="A205" s="20" t="str">
        <f>IF('Bill Master List'!F27="Yes",'Bill Master List'!A27,"")</f>
        <v/>
      </c>
      <c r="B205" s="17" t="str">
        <f>IF('Bill Master List'!F27="Yes",'Bill Master List'!B27,"")</f>
        <v/>
      </c>
      <c r="C205" s="20" t="str">
        <f>IF('Bill Master List'!F27="Yes",'Bill Master List'!C27,"")</f>
        <v/>
      </c>
      <c r="D205" s="20" t="str">
        <f>IF('Bill Master List'!F27="Yes",'Bill Master List'!D27,"")</f>
        <v/>
      </c>
      <c r="E205" s="64" t="str">
        <f>IF('Bill Master List'!F27="Yes",'Bill Master List'!E27,"")</f>
        <v/>
      </c>
      <c r="F205" s="17" t="str">
        <f>IF('Bill Master List'!F27="Yes",'Bill Master List'!G27,"")</f>
        <v/>
      </c>
      <c r="G205" s="64" t="str">
        <f>IF('Bill Master List'!F27="Yes",'Bill Master List'!H27,"")</f>
        <v/>
      </c>
      <c r="H205" s="19" t="str">
        <f>IF('Bill Master List'!F27="Yes",'Bill Master List'!I27,"")</f>
        <v/>
      </c>
    </row>
    <row r="206" spans="1:8" x14ac:dyDescent="0.3">
      <c r="A206" s="20" t="str">
        <f>IF('Bill Master List'!F28="Yes",'Bill Master List'!A28,"")</f>
        <v/>
      </c>
      <c r="B206" s="17" t="str">
        <f>IF('Bill Master List'!F28="Yes",'Bill Master List'!B28,"")</f>
        <v/>
      </c>
      <c r="C206" s="20" t="str">
        <f>IF('Bill Master List'!F28="Yes",'Bill Master List'!C28,"")</f>
        <v/>
      </c>
      <c r="D206" s="20" t="str">
        <f>IF('Bill Master List'!F28="Yes",'Bill Master List'!D28,"")</f>
        <v/>
      </c>
      <c r="E206" s="64" t="str">
        <f>IF('Bill Master List'!F28="Yes",'Bill Master List'!E28,"")</f>
        <v/>
      </c>
      <c r="F206" s="17" t="str">
        <f>IF('Bill Master List'!F28="Yes",'Bill Master List'!G28,"")</f>
        <v/>
      </c>
      <c r="G206" s="64" t="str">
        <f>IF('Bill Master List'!F28="Yes",'Bill Master List'!H28,"")</f>
        <v/>
      </c>
      <c r="H206" s="19" t="str">
        <f>IF('Bill Master List'!F28="Yes",'Bill Master List'!I28,"")</f>
        <v/>
      </c>
    </row>
    <row r="207" spans="1:8" x14ac:dyDescent="0.3">
      <c r="A207" s="20" t="str">
        <f>IF('Bill Master List'!F29="Yes",'Bill Master List'!A29,"")</f>
        <v/>
      </c>
      <c r="B207" s="17" t="str">
        <f>IF('Bill Master List'!F29="Yes",'Bill Master List'!B29,"")</f>
        <v/>
      </c>
      <c r="C207" s="20" t="str">
        <f>IF('Bill Master List'!F29="Yes",'Bill Master List'!C29,"")</f>
        <v/>
      </c>
      <c r="D207" s="20" t="str">
        <f>IF('Bill Master List'!F29="Yes",'Bill Master List'!D29,"")</f>
        <v/>
      </c>
      <c r="E207" s="64" t="str">
        <f>IF('Bill Master List'!F29="Yes",'Bill Master List'!E29,"")</f>
        <v/>
      </c>
      <c r="F207" s="17" t="str">
        <f>IF('Bill Master List'!F29="Yes",'Bill Master List'!G29,"")</f>
        <v/>
      </c>
      <c r="G207" s="64" t="str">
        <f>IF('Bill Master List'!F29="Yes",'Bill Master List'!H29,"")</f>
        <v/>
      </c>
      <c r="H207" s="19" t="str">
        <f>IF('Bill Master List'!F29="Yes",'Bill Master List'!I29,"")</f>
        <v/>
      </c>
    </row>
    <row r="208" spans="1:8" x14ac:dyDescent="0.3">
      <c r="A208" s="20" t="str">
        <f>IF('Bill Master List'!F30="Yes",'Bill Master List'!A30,"")</f>
        <v/>
      </c>
      <c r="B208" s="17" t="str">
        <f>IF('Bill Master List'!F30="Yes",'Bill Master List'!B30,"")</f>
        <v/>
      </c>
      <c r="C208" s="20" t="str">
        <f>IF('Bill Master List'!F30="Yes",'Bill Master List'!C30,"")</f>
        <v/>
      </c>
      <c r="D208" s="20" t="str">
        <f>IF('Bill Master List'!F30="Yes",'Bill Master List'!D30,"")</f>
        <v/>
      </c>
      <c r="E208" s="64" t="str">
        <f>IF('Bill Master List'!F30="Yes",'Bill Master List'!E30,"")</f>
        <v/>
      </c>
      <c r="F208" s="17" t="str">
        <f>IF('Bill Master List'!F30="Yes",'Bill Master List'!G30,"")</f>
        <v/>
      </c>
      <c r="G208" s="64" t="str">
        <f>IF('Bill Master List'!F30="Yes",'Bill Master List'!H30,"")</f>
        <v/>
      </c>
      <c r="H208" s="19" t="str">
        <f>IF('Bill Master List'!F30="Yes",'Bill Master List'!I30,"")</f>
        <v/>
      </c>
    </row>
    <row r="209" spans="1:8" x14ac:dyDescent="0.3">
      <c r="A209" s="20" t="str">
        <f>IF('Bill Master List'!F31="Yes",'Bill Master List'!A31,"")</f>
        <v/>
      </c>
      <c r="B209" s="17" t="str">
        <f>IF('Bill Master List'!F31="Yes",'Bill Master List'!B31,"")</f>
        <v/>
      </c>
      <c r="C209" s="20" t="str">
        <f>IF('Bill Master List'!F31="Yes",'Bill Master List'!C31,"")</f>
        <v/>
      </c>
      <c r="D209" s="20" t="str">
        <f>IF('Bill Master List'!F31="Yes",'Bill Master List'!D31,"")</f>
        <v/>
      </c>
      <c r="E209" s="64" t="str">
        <f>IF('Bill Master List'!F31="Yes",'Bill Master List'!E31,"")</f>
        <v/>
      </c>
      <c r="F209" s="17" t="str">
        <f>IF('Bill Master List'!F31="Yes",'Bill Master List'!G31,"")</f>
        <v/>
      </c>
      <c r="G209" s="64" t="str">
        <f>IF('Bill Master List'!F31="Yes",'Bill Master List'!H31,"")</f>
        <v/>
      </c>
      <c r="H209" s="19" t="str">
        <f>IF('Bill Master List'!F31="Yes",'Bill Master List'!I31,"")</f>
        <v/>
      </c>
    </row>
    <row r="210" spans="1:8" x14ac:dyDescent="0.3">
      <c r="A210" s="20" t="str">
        <f>IF('Bill Master List'!F32="Yes",'Bill Master List'!A32,"")</f>
        <v/>
      </c>
      <c r="B210" s="17" t="str">
        <f>IF('Bill Master List'!F32="Yes",'Bill Master List'!B32,"")</f>
        <v/>
      </c>
      <c r="C210" s="20" t="str">
        <f>IF('Bill Master List'!F32="Yes",'Bill Master List'!C32,"")</f>
        <v/>
      </c>
      <c r="D210" s="20" t="str">
        <f>IF('Bill Master List'!F32="Yes",'Bill Master List'!D32,"")</f>
        <v/>
      </c>
      <c r="E210" s="64" t="str">
        <f>IF('Bill Master List'!F32="Yes",'Bill Master List'!E32,"")</f>
        <v/>
      </c>
      <c r="F210" s="17" t="str">
        <f>IF('Bill Master List'!F32="Yes",'Bill Master List'!G32,"")</f>
        <v/>
      </c>
      <c r="G210" s="64" t="str">
        <f>IF('Bill Master List'!F32="Yes",'Bill Master List'!H32,"")</f>
        <v/>
      </c>
      <c r="H210" s="19" t="str">
        <f>IF('Bill Master List'!F32="Yes",'Bill Master List'!I32,"")</f>
        <v/>
      </c>
    </row>
    <row r="211" spans="1:8" x14ac:dyDescent="0.3">
      <c r="A211" s="22" t="s">
        <v>172</v>
      </c>
      <c r="B211" s="23" t="s">
        <v>173</v>
      </c>
      <c r="C211" s="23" t="s">
        <v>174</v>
      </c>
      <c r="D211" s="23" t="s">
        <v>175</v>
      </c>
      <c r="E211" s="68" t="s">
        <v>176</v>
      </c>
      <c r="F211" s="23" t="s">
        <v>177</v>
      </c>
      <c r="G211" s="65" t="s">
        <v>178</v>
      </c>
      <c r="H211" s="24" t="s">
        <v>179</v>
      </c>
    </row>
    <row r="212" spans="1:8" x14ac:dyDescent="0.3">
      <c r="B212" s="25">
        <f>SUMIF(D181:D210,"Card1",B181:B210)</f>
        <v>587</v>
      </c>
      <c r="C212" s="25">
        <f>SUMIF(D181:D210,"Card2",B181:B210)</f>
        <v>398</v>
      </c>
      <c r="D212" s="25">
        <f>SUMIF(D181:D210,"Card3",B181:B210)</f>
        <v>1265</v>
      </c>
      <c r="E212" s="69">
        <f>SUMIF(D181:D210,"Card4",B181:B210)</f>
        <v>200</v>
      </c>
      <c r="F212" s="25">
        <f>SUMIF(D181:D210,"Card5",B181:B210)</f>
        <v>630</v>
      </c>
      <c r="G212" s="66">
        <f>SUM(B181:B210)</f>
        <v>3080</v>
      </c>
      <c r="H212" s="26">
        <f>SUM(F181:F210)</f>
        <v>249</v>
      </c>
    </row>
    <row r="214" spans="1:8" ht="15.6" customHeight="1" x14ac:dyDescent="0.3">
      <c r="A214" s="98" t="s">
        <v>185</v>
      </c>
      <c r="B214" s="86"/>
      <c r="C214" s="86"/>
      <c r="D214" s="86"/>
      <c r="E214" s="97"/>
      <c r="F214" s="86"/>
      <c r="G214" s="97"/>
      <c r="H214" s="86"/>
    </row>
    <row r="215" spans="1:8" x14ac:dyDescent="0.3">
      <c r="A215" s="21" t="s">
        <v>130</v>
      </c>
      <c r="B215" s="21" t="s">
        <v>131</v>
      </c>
      <c r="C215" s="21" t="s">
        <v>96</v>
      </c>
      <c r="D215" s="21" t="s">
        <v>170</v>
      </c>
      <c r="E215" s="63" t="s">
        <v>133</v>
      </c>
      <c r="F215" s="21" t="s">
        <v>134</v>
      </c>
      <c r="G215" s="63" t="s">
        <v>171</v>
      </c>
      <c r="H215" s="21" t="s">
        <v>136</v>
      </c>
    </row>
    <row r="216" spans="1:8" x14ac:dyDescent="0.3">
      <c r="A216" s="20" t="str">
        <f>IF('Bill Master List'!F3="Yes",'Bill Master List'!A3,"")</f>
        <v>Storage 1</v>
      </c>
      <c r="B216" s="17">
        <f>IF('Bill Master List'!F3="Yes",'Bill Master List'!B3,"")</f>
        <v>478</v>
      </c>
      <c r="C216" s="20">
        <f>IF('Bill Master List'!F3="Yes",'Bill Master List'!C3,"")</f>
        <v>1</v>
      </c>
      <c r="D216" s="20" t="str">
        <f>IF('Bill Master List'!F3="Yes",'Bill Master List'!D3,"")</f>
        <v>Card1</v>
      </c>
      <c r="E216" s="64" t="str">
        <f>IF('Bill Master List'!F3="Yes",'Bill Master List'!E3,"")</f>
        <v>Housing</v>
      </c>
      <c r="F216" s="17">
        <f>IF('Bill Master List'!F3="Yes",'Bill Master List'!G3,"")</f>
        <v>40</v>
      </c>
      <c r="G216" s="64">
        <f>IF('Bill Master List'!F3="Yes",'Bill Master List'!H3,"")</f>
        <v>5</v>
      </c>
      <c r="H216" s="19" t="str">
        <f>IF('Bill Master List'!F3="Yes",'Bill Master List'!I3,"")</f>
        <v>Lien risk after 30 days late</v>
      </c>
    </row>
    <row r="217" spans="1:8" x14ac:dyDescent="0.3">
      <c r="A217" s="20" t="str">
        <f>IF('Bill Master List'!F4="Yes",'Bill Master List'!A4,"")</f>
        <v>Storage 2</v>
      </c>
      <c r="B217" s="17">
        <f>IF('Bill Master List'!F4="Yes",'Bill Master List'!B4,"")</f>
        <v>109</v>
      </c>
      <c r="C217" s="20">
        <f>IF('Bill Master List'!F4="Yes",'Bill Master List'!C4,"")</f>
        <v>1</v>
      </c>
      <c r="D217" s="20" t="str">
        <f>IF('Bill Master List'!F4="Yes",'Bill Master List'!D4,"")</f>
        <v>Card1</v>
      </c>
      <c r="E217" s="64" t="str">
        <f>IF('Bill Master List'!F4="Yes",'Bill Master List'!E4,"")</f>
        <v>Housing</v>
      </c>
      <c r="F217" s="17">
        <f>IF('Bill Master List'!F4="Yes",'Bill Master List'!G4,"")</f>
        <v>25</v>
      </c>
      <c r="G217" s="64">
        <f>IF('Bill Master List'!F4="Yes",'Bill Master List'!H4,"")</f>
        <v>5</v>
      </c>
      <c r="H217" s="19" t="str">
        <f>IF('Bill Master List'!F4="Yes",'Bill Master List'!I4,"")</f>
        <v>Lien risk after 30 days late</v>
      </c>
    </row>
    <row r="218" spans="1:8" x14ac:dyDescent="0.3">
      <c r="A218" s="20" t="str">
        <f>IF('Bill Master List'!F5="Yes",'Bill Master List'!A5,"")</f>
        <v>Storage 3</v>
      </c>
      <c r="B218" s="17">
        <f>IF('Bill Master List'!F5="Yes",'Bill Master List'!B5,"")</f>
        <v>180</v>
      </c>
      <c r="C218" s="20">
        <f>IF('Bill Master List'!F5="Yes",'Bill Master List'!C5,"")</f>
        <v>1</v>
      </c>
      <c r="D218" s="20" t="str">
        <f>IF('Bill Master List'!F5="Yes",'Bill Master List'!D5,"")</f>
        <v>Card2</v>
      </c>
      <c r="E218" s="64" t="str">
        <f>IF('Bill Master List'!F5="Yes",'Bill Master List'!E5,"")</f>
        <v>Housing</v>
      </c>
      <c r="F218" s="17">
        <f>IF('Bill Master List'!F5="Yes",'Bill Master List'!G5,"")</f>
        <v>25</v>
      </c>
      <c r="G218" s="64">
        <f>IF('Bill Master List'!F5="Yes",'Bill Master List'!H5,"")</f>
        <v>5</v>
      </c>
      <c r="H218" s="19" t="str">
        <f>IF('Bill Master List'!F5="Yes",'Bill Master List'!I5,"")</f>
        <v>Lien risk after 30 days late</v>
      </c>
    </row>
    <row r="219" spans="1:8" x14ac:dyDescent="0.3">
      <c r="A219" s="20" t="str">
        <f>IF('Bill Master List'!F6="Yes",'Bill Master List'!A6,"")</f>
        <v>Storage 4</v>
      </c>
      <c r="B219" s="17">
        <f>IF('Bill Master List'!F6="Yes",'Bill Master List'!B6,"")</f>
        <v>98</v>
      </c>
      <c r="C219" s="20">
        <f>IF('Bill Master List'!F6="Yes",'Bill Master List'!C6,"")</f>
        <v>1</v>
      </c>
      <c r="D219" s="20" t="str">
        <f>IF('Bill Master List'!F6="Yes",'Bill Master List'!D6,"")</f>
        <v>Card2</v>
      </c>
      <c r="E219" s="64" t="str">
        <f>IF('Bill Master List'!F6="Yes",'Bill Master List'!E6,"")</f>
        <v>Housing</v>
      </c>
      <c r="F219" s="17">
        <f>IF('Bill Master List'!F6="Yes",'Bill Master List'!G6,"")</f>
        <v>20</v>
      </c>
      <c r="G219" s="64">
        <f>IF('Bill Master List'!F6="Yes",'Bill Master List'!H6,"")</f>
        <v>5</v>
      </c>
      <c r="H219" s="19" t="str">
        <f>IF('Bill Master List'!F6="Yes",'Bill Master List'!I6,"")</f>
        <v>Lien risk after 30 days late</v>
      </c>
    </row>
    <row r="220" spans="1:8" x14ac:dyDescent="0.3">
      <c r="A220" s="20" t="str">
        <f>IF('Bill Master List'!F7="Yes",'Bill Master List'!A7,"")</f>
        <v>Intuit</v>
      </c>
      <c r="B220" s="17">
        <f>IF('Bill Master List'!F7="Yes",'Bill Master List'!B7,"")</f>
        <v>75</v>
      </c>
      <c r="C220" s="20">
        <f>IF('Bill Master List'!F7="Yes",'Bill Master List'!C7,"")</f>
        <v>20</v>
      </c>
      <c r="D220" s="20" t="str">
        <f>IF('Bill Master List'!F7="Yes",'Bill Master List'!D7,"")</f>
        <v>Card2</v>
      </c>
      <c r="E220" s="64" t="str">
        <f>IF('Bill Master List'!F7="Yes",'Bill Master List'!E7,"")</f>
        <v>Utilities</v>
      </c>
      <c r="F220" s="17">
        <f>IF('Bill Master List'!F7="Yes",'Bill Master List'!G7,"")</f>
        <v>0</v>
      </c>
      <c r="G220" s="64">
        <f>IF('Bill Master List'!F7="Yes",'Bill Master List'!H7,"")</f>
        <v>0</v>
      </c>
      <c r="H220" s="19" t="str">
        <f>IF('Bill Master List'!F7="Yes",'Bill Master List'!I7,"")</f>
        <v>Service suspended if unpaid</v>
      </c>
    </row>
    <row r="221" spans="1:8" x14ac:dyDescent="0.3">
      <c r="A221" s="20" t="str">
        <f>IF('Bill Master List'!F8="Yes",'Bill Master List'!A8,"")</f>
        <v>Cell Phone</v>
      </c>
      <c r="B221" s="17">
        <f>IF('Bill Master List'!F8="Yes",'Bill Master List'!B8,"")</f>
        <v>80</v>
      </c>
      <c r="C221" s="20">
        <f>IF('Bill Master List'!F8="Yes",'Bill Master List'!C8,"")</f>
        <v>5</v>
      </c>
      <c r="D221" s="20" t="str">
        <f>IF('Bill Master List'!F8="Yes",'Bill Master List'!D8,"")</f>
        <v>Card3</v>
      </c>
      <c r="E221" s="64" t="str">
        <f>IF('Bill Master List'!F8="Yes",'Bill Master List'!E8,"")</f>
        <v>Phone</v>
      </c>
      <c r="F221" s="17">
        <f>IF('Bill Master List'!F8="Yes",'Bill Master List'!G8,"")</f>
        <v>25</v>
      </c>
      <c r="G221" s="64">
        <f>IF('Bill Master List'!F8="Yes",'Bill Master List'!H8,"")</f>
        <v>0</v>
      </c>
      <c r="H221" s="19" t="str">
        <f>IF('Bill Master List'!F8="Yes",'Bill Master List'!I8,"")</f>
        <v>Service disconnected after 30 days</v>
      </c>
    </row>
    <row r="222" spans="1:8" ht="28.8" customHeight="1" x14ac:dyDescent="0.3">
      <c r="A222" s="20" t="str">
        <f>IF('Bill Master List'!F9="Yes",'Bill Master List'!A9,"")</f>
        <v>Car Payment</v>
      </c>
      <c r="B222" s="17">
        <f>IF('Bill Master List'!F9="Yes",'Bill Master List'!B9,"")</f>
        <v>785</v>
      </c>
      <c r="C222" s="20">
        <f>IF('Bill Master List'!F9="Yes",'Bill Master List'!C9,"")</f>
        <v>24</v>
      </c>
      <c r="D222" s="20" t="str">
        <f>IF('Bill Master List'!F9="Yes",'Bill Master List'!D9,"")</f>
        <v>Card3</v>
      </c>
      <c r="E222" s="64" t="str">
        <f>IF('Bill Master List'!F9="Yes",'Bill Master List'!E9,"")</f>
        <v>Auto</v>
      </c>
      <c r="F222" s="17">
        <f>IF('Bill Master List'!F9="Yes",'Bill Master List'!G9,"")</f>
        <v>39</v>
      </c>
      <c r="G222" s="64">
        <f>IF('Bill Master List'!F9="Yes",'Bill Master List'!H9,"")</f>
        <v>10</v>
      </c>
      <c r="H222" s="19" t="str">
        <f>IF('Bill Master List'!F9="Yes",'Bill Master List'!I9,"")</f>
        <v>Repo risk after 60+ days. Hits credit report at 30 days.</v>
      </c>
    </row>
    <row r="223" spans="1:8" x14ac:dyDescent="0.3">
      <c r="A223" s="20" t="str">
        <f>IF('Bill Master List'!F10="Yes",'Bill Master List'!A10,"")</f>
        <v>Car Insurance</v>
      </c>
      <c r="B223" s="17">
        <f>IF('Bill Master List'!F10="Yes",'Bill Master List'!B10,"")</f>
        <v>0</v>
      </c>
      <c r="C223" s="20">
        <f>IF('Bill Master List'!F10="Yes",'Bill Master List'!C10,"")</f>
        <v>10</v>
      </c>
      <c r="D223" s="20" t="str">
        <f>IF('Bill Master List'!F10="Yes",'Bill Master List'!D10,"")</f>
        <v>Card1</v>
      </c>
      <c r="E223" s="64" t="str">
        <f>IF('Bill Master List'!F10="Yes",'Bill Master List'!E10,"")</f>
        <v>Auto</v>
      </c>
      <c r="F223" s="17">
        <f>IF('Bill Master List'!F10="Yes",'Bill Master List'!G10,"")</f>
        <v>25</v>
      </c>
      <c r="G223" s="64">
        <f>IF('Bill Master List'!F10="Yes",'Bill Master List'!H10,"")</f>
        <v>10</v>
      </c>
      <c r="H223" s="19" t="str">
        <f>IF('Bill Master List'!F10="Yes",'Bill Master List'!I10,"")</f>
        <v>Policy cancellation after lapse</v>
      </c>
    </row>
    <row r="224" spans="1:8" x14ac:dyDescent="0.3">
      <c r="A224" s="20" t="str">
        <f>IF('Bill Master List'!F11="Yes",'Bill Master List'!A11,"")</f>
        <v>Gas/Fuel</v>
      </c>
      <c r="B224" s="17">
        <f>IF('Bill Master List'!F11="Yes",'Bill Master List'!B11,"")</f>
        <v>200</v>
      </c>
      <c r="C224" s="20">
        <f>IF('Bill Master List'!F11="Yes",'Bill Master List'!C11,"")</f>
        <v>15</v>
      </c>
      <c r="D224" s="20" t="str">
        <f>IF('Bill Master List'!F11="Yes",'Bill Master List'!D11,"")</f>
        <v>Card4</v>
      </c>
      <c r="E224" s="64" t="str">
        <f>IF('Bill Master List'!F11="Yes",'Bill Master List'!E11,"")</f>
        <v>Auto</v>
      </c>
      <c r="F224" s="17">
        <f>IF('Bill Master List'!F11="Yes",'Bill Master List'!G11,"")</f>
        <v>0</v>
      </c>
      <c r="G224" s="64">
        <f>IF('Bill Master List'!F11="Yes",'Bill Master List'!H11,"")</f>
        <v>0</v>
      </c>
      <c r="H224" s="19" t="str">
        <f>IF('Bill Master List'!F11="Yes",'Bill Master List'!I11,"")</f>
        <v>Variable expense - no late fee</v>
      </c>
    </row>
    <row r="225" spans="1:8" x14ac:dyDescent="0.3">
      <c r="A225" s="20" t="str">
        <f>IF('Bill Master List'!F12="Yes",'Bill Master List'!A12,"")</f>
        <v>Groceries</v>
      </c>
      <c r="B225" s="17">
        <f>IF('Bill Master List'!F12="Yes",'Bill Master List'!B12,"")</f>
        <v>400</v>
      </c>
      <c r="C225" s="20">
        <f>IF('Bill Master List'!F12="Yes",'Bill Master List'!C12,"")</f>
        <v>1</v>
      </c>
      <c r="D225" s="20" t="str">
        <f>IF('Bill Master List'!F12="Yes",'Bill Master List'!D12,"")</f>
        <v>Card3</v>
      </c>
      <c r="E225" s="64" t="str">
        <f>IF('Bill Master List'!F12="Yes",'Bill Master List'!E12,"")</f>
        <v>Health</v>
      </c>
      <c r="F225" s="17">
        <f>IF('Bill Master List'!F12="Yes",'Bill Master List'!G12,"")</f>
        <v>0</v>
      </c>
      <c r="G225" s="64">
        <f>IF('Bill Master List'!F12="Yes",'Bill Master List'!H12,"")</f>
        <v>0</v>
      </c>
      <c r="H225" s="19" t="str">
        <f>IF('Bill Master List'!F12="Yes",'Bill Master List'!I12,"")</f>
        <v>Variable expense - no late fee</v>
      </c>
    </row>
    <row r="226" spans="1:8" x14ac:dyDescent="0.3">
      <c r="A226" s="20" t="str">
        <f>IF('Bill Master List'!F13="Yes",'Bill Master List'!A13,"")</f>
        <v>Klarna</v>
      </c>
      <c r="B226" s="17">
        <f>IF('Bill Master List'!F13="Yes",'Bill Master List'!B13,"")</f>
        <v>45</v>
      </c>
      <c r="C226" s="20">
        <f>IF('Bill Master List'!F13="Yes",'Bill Master List'!C13,"")</f>
        <v>15</v>
      </c>
      <c r="D226" s="20" t="str">
        <f>IF('Bill Master List'!F13="Yes",'Bill Master List'!D13,"")</f>
        <v>Card2</v>
      </c>
      <c r="E226" s="64" t="str">
        <f>IF('Bill Master List'!F13="Yes",'Bill Master List'!E13,"")</f>
        <v>Entertainment</v>
      </c>
      <c r="F226" s="17">
        <f>IF('Bill Master List'!F13="Yes",'Bill Master List'!G13,"")</f>
        <v>25</v>
      </c>
      <c r="G226" s="64">
        <f>IF('Bill Master List'!F13="Yes",'Bill Master List'!H13,"")</f>
        <v>0</v>
      </c>
      <c r="H226" s="19" t="str">
        <f>IF('Bill Master List'!F13="Yes",'Bill Master List'!I13,"")</f>
        <v>Hits credit after 30 days late</v>
      </c>
    </row>
    <row r="227" spans="1:8" x14ac:dyDescent="0.3">
      <c r="A227" s="20" t="str">
        <f>IF('Bill Master List'!F14="Yes",'Bill Master List'!A14,"")</f>
        <v>Affirm</v>
      </c>
      <c r="B227" s="17">
        <f>IF('Bill Master List'!F14="Yes",'Bill Master List'!B14,"")</f>
        <v>30</v>
      </c>
      <c r="C227" s="20">
        <f>IF('Bill Master List'!F14="Yes",'Bill Master List'!C14,"")</f>
        <v>20</v>
      </c>
      <c r="D227" s="20" t="str">
        <f>IF('Bill Master List'!F14="Yes",'Bill Master List'!D14,"")</f>
        <v>Card5</v>
      </c>
      <c r="E227" s="64" t="str">
        <f>IF('Bill Master List'!F14="Yes",'Bill Master List'!E14,"")</f>
        <v>Food</v>
      </c>
      <c r="F227" s="17">
        <f>IF('Bill Master List'!F14="Yes",'Bill Master List'!G14,"")</f>
        <v>0</v>
      </c>
      <c r="G227" s="64">
        <f>IF('Bill Master List'!F14="Yes",'Bill Master List'!H14,"")</f>
        <v>0</v>
      </c>
      <c r="H227" s="19" t="str">
        <f>IF('Bill Master List'!F14="Yes",'Bill Master List'!I14,"")</f>
        <v>No late fee but hits credit at 30 days</v>
      </c>
    </row>
    <row r="228" spans="1:8" ht="28.8" customHeight="1" x14ac:dyDescent="0.3">
      <c r="A228" s="20" t="str">
        <f>IF('Bill Master List'!F15="Yes",'Bill Master List'!A15,"")</f>
        <v>NTTA</v>
      </c>
      <c r="B228" s="17">
        <f>IF('Bill Master List'!F15="Yes",'Bill Master List'!B15,"")</f>
        <v>600</v>
      </c>
      <c r="C228" s="20">
        <f>IF('Bill Master List'!F15="Yes",'Bill Master List'!C15,"")</f>
        <v>15</v>
      </c>
      <c r="D228" s="20" t="str">
        <f>IF('Bill Master List'!F15="Yes",'Bill Master List'!D15,"")</f>
        <v>Card5</v>
      </c>
      <c r="E228" s="64" t="str">
        <f>IF('Bill Master List'!F15="Yes",'Bill Master List'!E15,"")</f>
        <v>Auto</v>
      </c>
      <c r="F228" s="17">
        <f>IF('Bill Master List'!F15="Yes",'Bill Master List'!G15,"")</f>
        <v>25</v>
      </c>
      <c r="G228" s="64">
        <f>IF('Bill Master List'!F15="Yes",'Bill Master List'!H15,"")</f>
        <v>30</v>
      </c>
      <c r="H228" s="19" t="str">
        <f>IF('Bill Master List'!F15="Yes",'Bill Master List'!I15,"")</f>
        <v>Can block vehicle registration. TxTag balance required.</v>
      </c>
    </row>
    <row r="229" spans="1:8" x14ac:dyDescent="0.3">
      <c r="A229" s="20" t="str">
        <f>IF('Bill Master List'!F16="Yes",'Bill Master List'!A16,"")</f>
        <v/>
      </c>
      <c r="B229" s="17" t="str">
        <f>IF('Bill Master List'!F16="Yes",'Bill Master List'!B16,"")</f>
        <v/>
      </c>
      <c r="C229" s="20" t="str">
        <f>IF('Bill Master List'!F16="Yes",'Bill Master List'!C16,"")</f>
        <v/>
      </c>
      <c r="D229" s="20" t="str">
        <f>IF('Bill Master List'!F16="Yes",'Bill Master List'!D16,"")</f>
        <v/>
      </c>
      <c r="E229" s="64" t="str">
        <f>IF('Bill Master List'!F16="Yes",'Bill Master List'!E16,"")</f>
        <v/>
      </c>
      <c r="F229" s="17" t="str">
        <f>IF('Bill Master List'!F16="Yes",'Bill Master List'!G16,"")</f>
        <v/>
      </c>
      <c r="G229" s="64" t="str">
        <f>IF('Bill Master List'!F16="Yes",'Bill Master List'!H16,"")</f>
        <v/>
      </c>
      <c r="H229" s="19" t="str">
        <f>IF('Bill Master List'!F16="Yes",'Bill Master List'!I16,"")</f>
        <v/>
      </c>
    </row>
    <row r="230" spans="1:8" x14ac:dyDescent="0.3">
      <c r="A230" s="20" t="str">
        <f>IF('Bill Master List'!F17="Yes",'Bill Master List'!A17,"")</f>
        <v/>
      </c>
      <c r="B230" s="17" t="str">
        <f>IF('Bill Master List'!F17="Yes",'Bill Master List'!B17,"")</f>
        <v/>
      </c>
      <c r="C230" s="20" t="str">
        <f>IF('Bill Master List'!F17="Yes",'Bill Master List'!C17,"")</f>
        <v/>
      </c>
      <c r="D230" s="20" t="str">
        <f>IF('Bill Master List'!F17="Yes",'Bill Master List'!D17,"")</f>
        <v/>
      </c>
      <c r="E230" s="64" t="str">
        <f>IF('Bill Master List'!F17="Yes",'Bill Master List'!E17,"")</f>
        <v/>
      </c>
      <c r="F230" s="17" t="str">
        <f>IF('Bill Master List'!F17="Yes",'Bill Master List'!G17,"")</f>
        <v/>
      </c>
      <c r="G230" s="64" t="str">
        <f>IF('Bill Master List'!F17="Yes",'Bill Master List'!H17,"")</f>
        <v/>
      </c>
      <c r="H230" s="19" t="str">
        <f>IF('Bill Master List'!F17="Yes",'Bill Master List'!I17,"")</f>
        <v/>
      </c>
    </row>
    <row r="231" spans="1:8" x14ac:dyDescent="0.3">
      <c r="A231" s="20" t="str">
        <f>IF('Bill Master List'!F18="Yes",'Bill Master List'!A18,"")</f>
        <v/>
      </c>
      <c r="B231" s="17" t="str">
        <f>IF('Bill Master List'!F18="Yes",'Bill Master List'!B18,"")</f>
        <v/>
      </c>
      <c r="C231" s="20" t="str">
        <f>IF('Bill Master List'!F18="Yes",'Bill Master List'!C18,"")</f>
        <v/>
      </c>
      <c r="D231" s="20" t="str">
        <f>IF('Bill Master List'!F18="Yes",'Bill Master List'!D18,"")</f>
        <v/>
      </c>
      <c r="E231" s="64" t="str">
        <f>IF('Bill Master List'!F18="Yes",'Bill Master List'!E18,"")</f>
        <v/>
      </c>
      <c r="F231" s="17" t="str">
        <f>IF('Bill Master List'!F18="Yes",'Bill Master List'!G18,"")</f>
        <v/>
      </c>
      <c r="G231" s="64" t="str">
        <f>IF('Bill Master List'!F18="Yes",'Bill Master List'!H18,"")</f>
        <v/>
      </c>
      <c r="H231" s="19" t="str">
        <f>IF('Bill Master List'!F18="Yes",'Bill Master List'!I18,"")</f>
        <v/>
      </c>
    </row>
    <row r="232" spans="1:8" x14ac:dyDescent="0.3">
      <c r="A232" s="20" t="str">
        <f>IF('Bill Master List'!F19="Yes",'Bill Master List'!A19,"")</f>
        <v/>
      </c>
      <c r="B232" s="17" t="str">
        <f>IF('Bill Master List'!F19="Yes",'Bill Master List'!B19,"")</f>
        <v/>
      </c>
      <c r="C232" s="20" t="str">
        <f>IF('Bill Master List'!F19="Yes",'Bill Master List'!C19,"")</f>
        <v/>
      </c>
      <c r="D232" s="20" t="str">
        <f>IF('Bill Master List'!F19="Yes",'Bill Master List'!D19,"")</f>
        <v/>
      </c>
      <c r="E232" s="64" t="str">
        <f>IF('Bill Master List'!F19="Yes",'Bill Master List'!E19,"")</f>
        <v/>
      </c>
      <c r="F232" s="17" t="str">
        <f>IF('Bill Master List'!F19="Yes",'Bill Master List'!G19,"")</f>
        <v/>
      </c>
      <c r="G232" s="64" t="str">
        <f>IF('Bill Master List'!F19="Yes",'Bill Master List'!H19,"")</f>
        <v/>
      </c>
      <c r="H232" s="19" t="str">
        <f>IF('Bill Master List'!F19="Yes",'Bill Master List'!I19,"")</f>
        <v/>
      </c>
    </row>
    <row r="233" spans="1:8" x14ac:dyDescent="0.3">
      <c r="A233" s="20" t="str">
        <f>IF('Bill Master List'!F20="Yes",'Bill Master List'!A20,"")</f>
        <v/>
      </c>
      <c r="B233" s="17" t="str">
        <f>IF('Bill Master List'!F20="Yes",'Bill Master List'!B20,"")</f>
        <v/>
      </c>
      <c r="C233" s="20" t="str">
        <f>IF('Bill Master List'!F20="Yes",'Bill Master List'!C20,"")</f>
        <v/>
      </c>
      <c r="D233" s="20" t="str">
        <f>IF('Bill Master List'!F20="Yes",'Bill Master List'!D20,"")</f>
        <v/>
      </c>
      <c r="E233" s="64" t="str">
        <f>IF('Bill Master List'!F20="Yes",'Bill Master List'!E20,"")</f>
        <v/>
      </c>
      <c r="F233" s="17" t="str">
        <f>IF('Bill Master List'!F20="Yes",'Bill Master List'!G20,"")</f>
        <v/>
      </c>
      <c r="G233" s="64" t="str">
        <f>IF('Bill Master List'!F20="Yes",'Bill Master List'!H20,"")</f>
        <v/>
      </c>
      <c r="H233" s="19" t="str">
        <f>IF('Bill Master List'!F20="Yes",'Bill Master List'!I20,"")</f>
        <v/>
      </c>
    </row>
    <row r="234" spans="1:8" x14ac:dyDescent="0.3">
      <c r="A234" s="20" t="str">
        <f>IF('Bill Master List'!F21="Yes",'Bill Master List'!A21,"")</f>
        <v/>
      </c>
      <c r="B234" s="17" t="str">
        <f>IF('Bill Master List'!F21="Yes",'Bill Master List'!B21,"")</f>
        <v/>
      </c>
      <c r="C234" s="20" t="str">
        <f>IF('Bill Master List'!F21="Yes",'Bill Master List'!C21,"")</f>
        <v/>
      </c>
      <c r="D234" s="20" t="str">
        <f>IF('Bill Master List'!F21="Yes",'Bill Master List'!D21,"")</f>
        <v/>
      </c>
      <c r="E234" s="64" t="str">
        <f>IF('Bill Master List'!F21="Yes",'Bill Master List'!E21,"")</f>
        <v/>
      </c>
      <c r="F234" s="17" t="str">
        <f>IF('Bill Master List'!F21="Yes",'Bill Master List'!G21,"")</f>
        <v/>
      </c>
      <c r="G234" s="64" t="str">
        <f>IF('Bill Master List'!F21="Yes",'Bill Master List'!H21,"")</f>
        <v/>
      </c>
      <c r="H234" s="19" t="str">
        <f>IF('Bill Master List'!F21="Yes",'Bill Master List'!I21,"")</f>
        <v/>
      </c>
    </row>
    <row r="235" spans="1:8" x14ac:dyDescent="0.3">
      <c r="A235" s="20" t="str">
        <f>IF('Bill Master List'!F22="Yes",'Bill Master List'!A22,"")</f>
        <v/>
      </c>
      <c r="B235" s="17" t="str">
        <f>IF('Bill Master List'!F22="Yes",'Bill Master List'!B22,"")</f>
        <v/>
      </c>
      <c r="C235" s="20" t="str">
        <f>IF('Bill Master List'!F22="Yes",'Bill Master List'!C22,"")</f>
        <v/>
      </c>
      <c r="D235" s="20" t="str">
        <f>IF('Bill Master List'!F22="Yes",'Bill Master List'!D22,"")</f>
        <v/>
      </c>
      <c r="E235" s="64" t="str">
        <f>IF('Bill Master List'!F22="Yes",'Bill Master List'!E22,"")</f>
        <v/>
      </c>
      <c r="F235" s="17" t="str">
        <f>IF('Bill Master List'!F22="Yes",'Bill Master List'!G22,"")</f>
        <v/>
      </c>
      <c r="G235" s="64" t="str">
        <f>IF('Bill Master List'!F22="Yes",'Bill Master List'!H22,"")</f>
        <v/>
      </c>
      <c r="H235" s="19" t="str">
        <f>IF('Bill Master List'!F22="Yes",'Bill Master List'!I22,"")</f>
        <v/>
      </c>
    </row>
    <row r="236" spans="1:8" x14ac:dyDescent="0.3">
      <c r="A236" s="20" t="str">
        <f>IF('Bill Master List'!F23="Yes",'Bill Master List'!A23,"")</f>
        <v/>
      </c>
      <c r="B236" s="17" t="str">
        <f>IF('Bill Master List'!F23="Yes",'Bill Master List'!B23,"")</f>
        <v/>
      </c>
      <c r="C236" s="20" t="str">
        <f>IF('Bill Master List'!F23="Yes",'Bill Master List'!C23,"")</f>
        <v/>
      </c>
      <c r="D236" s="20" t="str">
        <f>IF('Bill Master List'!F23="Yes",'Bill Master List'!D23,"")</f>
        <v/>
      </c>
      <c r="E236" s="64" t="str">
        <f>IF('Bill Master List'!F23="Yes",'Bill Master List'!E23,"")</f>
        <v/>
      </c>
      <c r="F236" s="17" t="str">
        <f>IF('Bill Master List'!F23="Yes",'Bill Master List'!G23,"")</f>
        <v/>
      </c>
      <c r="G236" s="64" t="str">
        <f>IF('Bill Master List'!F23="Yes",'Bill Master List'!H23,"")</f>
        <v/>
      </c>
      <c r="H236" s="19" t="str">
        <f>IF('Bill Master List'!F23="Yes",'Bill Master List'!I23,"")</f>
        <v/>
      </c>
    </row>
    <row r="237" spans="1:8" x14ac:dyDescent="0.3">
      <c r="A237" s="20" t="str">
        <f>IF('Bill Master List'!F24="Yes",'Bill Master List'!A24,"")</f>
        <v/>
      </c>
      <c r="B237" s="17" t="str">
        <f>IF('Bill Master List'!F24="Yes",'Bill Master List'!B24,"")</f>
        <v/>
      </c>
      <c r="C237" s="20" t="str">
        <f>IF('Bill Master List'!F24="Yes",'Bill Master List'!C24,"")</f>
        <v/>
      </c>
      <c r="D237" s="20" t="str">
        <f>IF('Bill Master List'!F24="Yes",'Bill Master List'!D24,"")</f>
        <v/>
      </c>
      <c r="E237" s="64" t="str">
        <f>IF('Bill Master List'!F24="Yes",'Bill Master List'!E24,"")</f>
        <v/>
      </c>
      <c r="F237" s="17" t="str">
        <f>IF('Bill Master List'!F24="Yes",'Bill Master List'!G24,"")</f>
        <v/>
      </c>
      <c r="G237" s="64" t="str">
        <f>IF('Bill Master List'!F24="Yes",'Bill Master List'!H24,"")</f>
        <v/>
      </c>
      <c r="H237" s="19" t="str">
        <f>IF('Bill Master List'!F24="Yes",'Bill Master List'!I24,"")</f>
        <v/>
      </c>
    </row>
    <row r="238" spans="1:8" x14ac:dyDescent="0.3">
      <c r="A238" s="20" t="str">
        <f>IF('Bill Master List'!F25="Yes",'Bill Master List'!A25,"")</f>
        <v/>
      </c>
      <c r="B238" s="17" t="str">
        <f>IF('Bill Master List'!F25="Yes",'Bill Master List'!B25,"")</f>
        <v/>
      </c>
      <c r="C238" s="20" t="str">
        <f>IF('Bill Master List'!F25="Yes",'Bill Master List'!C25,"")</f>
        <v/>
      </c>
      <c r="D238" s="20" t="str">
        <f>IF('Bill Master List'!F25="Yes",'Bill Master List'!D25,"")</f>
        <v/>
      </c>
      <c r="E238" s="64" t="str">
        <f>IF('Bill Master List'!F25="Yes",'Bill Master List'!E25,"")</f>
        <v/>
      </c>
      <c r="F238" s="17" t="str">
        <f>IF('Bill Master List'!F25="Yes",'Bill Master List'!G25,"")</f>
        <v/>
      </c>
      <c r="G238" s="64" t="str">
        <f>IF('Bill Master List'!F25="Yes",'Bill Master List'!H25,"")</f>
        <v/>
      </c>
      <c r="H238" s="19" t="str">
        <f>IF('Bill Master List'!F25="Yes",'Bill Master List'!I25,"")</f>
        <v/>
      </c>
    </row>
    <row r="239" spans="1:8" x14ac:dyDescent="0.3">
      <c r="A239" s="20" t="str">
        <f>IF('Bill Master List'!F26="Yes",'Bill Master List'!A26,"")</f>
        <v/>
      </c>
      <c r="B239" s="17" t="str">
        <f>IF('Bill Master List'!F26="Yes",'Bill Master List'!B26,"")</f>
        <v/>
      </c>
      <c r="C239" s="20" t="str">
        <f>IF('Bill Master List'!F26="Yes",'Bill Master List'!C26,"")</f>
        <v/>
      </c>
      <c r="D239" s="20" t="str">
        <f>IF('Bill Master List'!F26="Yes",'Bill Master List'!D26,"")</f>
        <v/>
      </c>
      <c r="E239" s="64" t="str">
        <f>IF('Bill Master List'!F26="Yes",'Bill Master List'!E26,"")</f>
        <v/>
      </c>
      <c r="F239" s="17" t="str">
        <f>IF('Bill Master List'!F26="Yes",'Bill Master List'!G26,"")</f>
        <v/>
      </c>
      <c r="G239" s="64" t="str">
        <f>IF('Bill Master List'!F26="Yes",'Bill Master List'!H26,"")</f>
        <v/>
      </c>
      <c r="H239" s="19" t="str">
        <f>IF('Bill Master List'!F26="Yes",'Bill Master List'!I26,"")</f>
        <v/>
      </c>
    </row>
    <row r="240" spans="1:8" x14ac:dyDescent="0.3">
      <c r="A240" s="20" t="str">
        <f>IF('Bill Master List'!F27="Yes",'Bill Master List'!A27,"")</f>
        <v/>
      </c>
      <c r="B240" s="17" t="str">
        <f>IF('Bill Master List'!F27="Yes",'Bill Master List'!B27,"")</f>
        <v/>
      </c>
      <c r="C240" s="20" t="str">
        <f>IF('Bill Master List'!F27="Yes",'Bill Master List'!C27,"")</f>
        <v/>
      </c>
      <c r="D240" s="20" t="str">
        <f>IF('Bill Master List'!F27="Yes",'Bill Master List'!D27,"")</f>
        <v/>
      </c>
      <c r="E240" s="64" t="str">
        <f>IF('Bill Master List'!F27="Yes",'Bill Master List'!E27,"")</f>
        <v/>
      </c>
      <c r="F240" s="17" t="str">
        <f>IF('Bill Master List'!F27="Yes",'Bill Master List'!G27,"")</f>
        <v/>
      </c>
      <c r="G240" s="64" t="str">
        <f>IF('Bill Master List'!F27="Yes",'Bill Master List'!H27,"")</f>
        <v/>
      </c>
      <c r="H240" s="19" t="str">
        <f>IF('Bill Master List'!F27="Yes",'Bill Master List'!I27,"")</f>
        <v/>
      </c>
    </row>
    <row r="241" spans="1:8" x14ac:dyDescent="0.3">
      <c r="A241" s="20" t="str">
        <f>IF('Bill Master List'!F28="Yes",'Bill Master List'!A28,"")</f>
        <v/>
      </c>
      <c r="B241" s="17" t="str">
        <f>IF('Bill Master List'!F28="Yes",'Bill Master List'!B28,"")</f>
        <v/>
      </c>
      <c r="C241" s="20" t="str">
        <f>IF('Bill Master List'!F28="Yes",'Bill Master List'!C28,"")</f>
        <v/>
      </c>
      <c r="D241" s="20" t="str">
        <f>IF('Bill Master List'!F28="Yes",'Bill Master List'!D28,"")</f>
        <v/>
      </c>
      <c r="E241" s="64" t="str">
        <f>IF('Bill Master List'!F28="Yes",'Bill Master List'!E28,"")</f>
        <v/>
      </c>
      <c r="F241" s="17" t="str">
        <f>IF('Bill Master List'!F28="Yes",'Bill Master List'!G28,"")</f>
        <v/>
      </c>
      <c r="G241" s="64" t="str">
        <f>IF('Bill Master List'!F28="Yes",'Bill Master List'!H28,"")</f>
        <v/>
      </c>
      <c r="H241" s="19" t="str">
        <f>IF('Bill Master List'!F28="Yes",'Bill Master List'!I28,"")</f>
        <v/>
      </c>
    </row>
    <row r="242" spans="1:8" x14ac:dyDescent="0.3">
      <c r="A242" s="20" t="str">
        <f>IF('Bill Master List'!F29="Yes",'Bill Master List'!A29,"")</f>
        <v/>
      </c>
      <c r="B242" s="17" t="str">
        <f>IF('Bill Master List'!F29="Yes",'Bill Master List'!B29,"")</f>
        <v/>
      </c>
      <c r="C242" s="20" t="str">
        <f>IF('Bill Master List'!F29="Yes",'Bill Master List'!C29,"")</f>
        <v/>
      </c>
      <c r="D242" s="20" t="str">
        <f>IF('Bill Master List'!F29="Yes",'Bill Master List'!D29,"")</f>
        <v/>
      </c>
      <c r="E242" s="64" t="str">
        <f>IF('Bill Master List'!F29="Yes",'Bill Master List'!E29,"")</f>
        <v/>
      </c>
      <c r="F242" s="17" t="str">
        <f>IF('Bill Master List'!F29="Yes",'Bill Master List'!G29,"")</f>
        <v/>
      </c>
      <c r="G242" s="64" t="str">
        <f>IF('Bill Master List'!F29="Yes",'Bill Master List'!H29,"")</f>
        <v/>
      </c>
      <c r="H242" s="19" t="str">
        <f>IF('Bill Master List'!F29="Yes",'Bill Master List'!I29,"")</f>
        <v/>
      </c>
    </row>
    <row r="243" spans="1:8" x14ac:dyDescent="0.3">
      <c r="A243" s="20" t="str">
        <f>IF('Bill Master List'!F30="Yes",'Bill Master List'!A30,"")</f>
        <v/>
      </c>
      <c r="B243" s="17" t="str">
        <f>IF('Bill Master List'!F30="Yes",'Bill Master List'!B30,"")</f>
        <v/>
      </c>
      <c r="C243" s="20" t="str">
        <f>IF('Bill Master List'!F30="Yes",'Bill Master List'!C30,"")</f>
        <v/>
      </c>
      <c r="D243" s="20" t="str">
        <f>IF('Bill Master List'!F30="Yes",'Bill Master List'!D30,"")</f>
        <v/>
      </c>
      <c r="E243" s="64" t="str">
        <f>IF('Bill Master List'!F30="Yes",'Bill Master List'!E30,"")</f>
        <v/>
      </c>
      <c r="F243" s="17" t="str">
        <f>IF('Bill Master List'!F30="Yes",'Bill Master List'!G30,"")</f>
        <v/>
      </c>
      <c r="G243" s="64" t="str">
        <f>IF('Bill Master List'!F30="Yes",'Bill Master List'!H30,"")</f>
        <v/>
      </c>
      <c r="H243" s="19" t="str">
        <f>IF('Bill Master List'!F30="Yes",'Bill Master List'!I30,"")</f>
        <v/>
      </c>
    </row>
    <row r="244" spans="1:8" x14ac:dyDescent="0.3">
      <c r="A244" s="20" t="str">
        <f>IF('Bill Master List'!F31="Yes",'Bill Master List'!A31,"")</f>
        <v/>
      </c>
      <c r="B244" s="17" t="str">
        <f>IF('Bill Master List'!F31="Yes",'Bill Master List'!B31,"")</f>
        <v/>
      </c>
      <c r="C244" s="20" t="str">
        <f>IF('Bill Master List'!F31="Yes",'Bill Master List'!C31,"")</f>
        <v/>
      </c>
      <c r="D244" s="20" t="str">
        <f>IF('Bill Master List'!F31="Yes",'Bill Master List'!D31,"")</f>
        <v/>
      </c>
      <c r="E244" s="64" t="str">
        <f>IF('Bill Master List'!F31="Yes",'Bill Master List'!E31,"")</f>
        <v/>
      </c>
      <c r="F244" s="17" t="str">
        <f>IF('Bill Master List'!F31="Yes",'Bill Master List'!G31,"")</f>
        <v/>
      </c>
      <c r="G244" s="64" t="str">
        <f>IF('Bill Master List'!F31="Yes",'Bill Master List'!H31,"")</f>
        <v/>
      </c>
      <c r="H244" s="19" t="str">
        <f>IF('Bill Master List'!F31="Yes",'Bill Master List'!I31,"")</f>
        <v/>
      </c>
    </row>
    <row r="245" spans="1:8" x14ac:dyDescent="0.3">
      <c r="A245" s="20" t="str">
        <f>IF('Bill Master List'!F32="Yes",'Bill Master List'!A32,"")</f>
        <v/>
      </c>
      <c r="B245" s="17" t="str">
        <f>IF('Bill Master List'!F32="Yes",'Bill Master List'!B32,"")</f>
        <v/>
      </c>
      <c r="C245" s="20" t="str">
        <f>IF('Bill Master List'!F32="Yes",'Bill Master List'!C32,"")</f>
        <v/>
      </c>
      <c r="D245" s="20" t="str">
        <f>IF('Bill Master List'!F32="Yes",'Bill Master List'!D32,"")</f>
        <v/>
      </c>
      <c r="E245" s="64" t="str">
        <f>IF('Bill Master List'!F32="Yes",'Bill Master List'!E32,"")</f>
        <v/>
      </c>
      <c r="F245" s="17" t="str">
        <f>IF('Bill Master List'!F32="Yes",'Bill Master List'!G32,"")</f>
        <v/>
      </c>
      <c r="G245" s="64" t="str">
        <f>IF('Bill Master List'!F32="Yes",'Bill Master List'!H32,"")</f>
        <v/>
      </c>
      <c r="H245" s="19" t="str">
        <f>IF('Bill Master List'!F32="Yes",'Bill Master List'!I32,"")</f>
        <v/>
      </c>
    </row>
    <row r="246" spans="1:8" x14ac:dyDescent="0.3">
      <c r="A246" s="22" t="s">
        <v>172</v>
      </c>
      <c r="B246" s="23" t="s">
        <v>173</v>
      </c>
      <c r="C246" s="23" t="s">
        <v>174</v>
      </c>
      <c r="D246" s="23" t="s">
        <v>175</v>
      </c>
      <c r="E246" s="68" t="s">
        <v>176</v>
      </c>
      <c r="F246" s="23" t="s">
        <v>177</v>
      </c>
      <c r="G246" s="65" t="s">
        <v>178</v>
      </c>
      <c r="H246" s="24" t="s">
        <v>179</v>
      </c>
    </row>
    <row r="247" spans="1:8" x14ac:dyDescent="0.3">
      <c r="B247" s="25">
        <f>SUMIF(D216:D245,"Card1",B216:B245)</f>
        <v>587</v>
      </c>
      <c r="C247" s="25">
        <f>SUMIF(D216:D245,"Card2",B216:B245)</f>
        <v>398</v>
      </c>
      <c r="D247" s="25">
        <f>SUMIF(D216:D245,"Card3",B216:B245)</f>
        <v>1265</v>
      </c>
      <c r="E247" s="69">
        <f>SUMIF(D216:D245,"Card4",B216:B245)</f>
        <v>200</v>
      </c>
      <c r="F247" s="25">
        <f>SUMIF(D216:D245,"Card5",B216:B245)</f>
        <v>630</v>
      </c>
      <c r="G247" s="66">
        <f>SUM(B216:B245)</f>
        <v>3080</v>
      </c>
      <c r="H247" s="26">
        <f>SUM(F216:F245)</f>
        <v>249</v>
      </c>
    </row>
    <row r="249" spans="1:8" ht="15.6" customHeight="1" x14ac:dyDescent="0.3">
      <c r="A249" s="98" t="s">
        <v>186</v>
      </c>
      <c r="B249" s="86"/>
      <c r="C249" s="86"/>
      <c r="D249" s="86"/>
      <c r="E249" s="97"/>
      <c r="F249" s="86"/>
      <c r="G249" s="97"/>
      <c r="H249" s="86"/>
    </row>
    <row r="250" spans="1:8" x14ac:dyDescent="0.3">
      <c r="A250" s="21" t="s">
        <v>130</v>
      </c>
      <c r="B250" s="21" t="s">
        <v>131</v>
      </c>
      <c r="C250" s="21" t="s">
        <v>96</v>
      </c>
      <c r="D250" s="21" t="s">
        <v>170</v>
      </c>
      <c r="E250" s="63" t="s">
        <v>133</v>
      </c>
      <c r="F250" s="21" t="s">
        <v>134</v>
      </c>
      <c r="G250" s="63" t="s">
        <v>171</v>
      </c>
      <c r="H250" s="21" t="s">
        <v>136</v>
      </c>
    </row>
    <row r="251" spans="1:8" x14ac:dyDescent="0.3">
      <c r="A251" s="20" t="str">
        <f>IF('Bill Master List'!F3="Yes",'Bill Master List'!A3,"")</f>
        <v>Storage 1</v>
      </c>
      <c r="B251" s="17">
        <f>IF('Bill Master List'!F3="Yes",'Bill Master List'!B3,"")</f>
        <v>478</v>
      </c>
      <c r="C251" s="20">
        <f>IF('Bill Master List'!F3="Yes",'Bill Master List'!C3,"")</f>
        <v>1</v>
      </c>
      <c r="D251" s="20" t="str">
        <f>IF('Bill Master List'!F3="Yes",'Bill Master List'!D3,"")</f>
        <v>Card1</v>
      </c>
      <c r="E251" s="64" t="str">
        <f>IF('Bill Master List'!F3="Yes",'Bill Master List'!E3,"")</f>
        <v>Housing</v>
      </c>
      <c r="F251" s="17">
        <f>IF('Bill Master List'!F3="Yes",'Bill Master List'!G3,"")</f>
        <v>40</v>
      </c>
      <c r="G251" s="64">
        <f>IF('Bill Master List'!F3="Yes",'Bill Master List'!H3,"")</f>
        <v>5</v>
      </c>
      <c r="H251" s="19" t="str">
        <f>IF('Bill Master List'!F3="Yes",'Bill Master List'!I3,"")</f>
        <v>Lien risk after 30 days late</v>
      </c>
    </row>
    <row r="252" spans="1:8" x14ac:dyDescent="0.3">
      <c r="A252" s="20" t="str">
        <f>IF('Bill Master List'!F4="Yes",'Bill Master List'!A4,"")</f>
        <v>Storage 2</v>
      </c>
      <c r="B252" s="17">
        <f>IF('Bill Master List'!F4="Yes",'Bill Master List'!B4,"")</f>
        <v>109</v>
      </c>
      <c r="C252" s="20">
        <f>IF('Bill Master List'!F4="Yes",'Bill Master List'!C4,"")</f>
        <v>1</v>
      </c>
      <c r="D252" s="20" t="str">
        <f>IF('Bill Master List'!F4="Yes",'Bill Master List'!D4,"")</f>
        <v>Card1</v>
      </c>
      <c r="E252" s="64" t="str">
        <f>IF('Bill Master List'!F4="Yes",'Bill Master List'!E4,"")</f>
        <v>Housing</v>
      </c>
      <c r="F252" s="17">
        <f>IF('Bill Master List'!F4="Yes",'Bill Master List'!G4,"")</f>
        <v>25</v>
      </c>
      <c r="G252" s="64">
        <f>IF('Bill Master List'!F4="Yes",'Bill Master List'!H4,"")</f>
        <v>5</v>
      </c>
      <c r="H252" s="19" t="str">
        <f>IF('Bill Master List'!F4="Yes",'Bill Master List'!I4,"")</f>
        <v>Lien risk after 30 days late</v>
      </c>
    </row>
    <row r="253" spans="1:8" x14ac:dyDescent="0.3">
      <c r="A253" s="20" t="str">
        <f>IF('Bill Master List'!F5="Yes",'Bill Master List'!A5,"")</f>
        <v>Storage 3</v>
      </c>
      <c r="B253" s="17">
        <f>IF('Bill Master List'!F5="Yes",'Bill Master List'!B5,"")</f>
        <v>180</v>
      </c>
      <c r="C253" s="20">
        <f>IF('Bill Master List'!F5="Yes",'Bill Master List'!C5,"")</f>
        <v>1</v>
      </c>
      <c r="D253" s="20" t="str">
        <f>IF('Bill Master List'!F5="Yes",'Bill Master List'!D5,"")</f>
        <v>Card2</v>
      </c>
      <c r="E253" s="64" t="str">
        <f>IF('Bill Master List'!F5="Yes",'Bill Master List'!E5,"")</f>
        <v>Housing</v>
      </c>
      <c r="F253" s="17">
        <f>IF('Bill Master List'!F5="Yes",'Bill Master List'!G5,"")</f>
        <v>25</v>
      </c>
      <c r="G253" s="64">
        <f>IF('Bill Master List'!F5="Yes",'Bill Master List'!H5,"")</f>
        <v>5</v>
      </c>
      <c r="H253" s="19" t="str">
        <f>IF('Bill Master List'!F5="Yes",'Bill Master List'!I5,"")</f>
        <v>Lien risk after 30 days late</v>
      </c>
    </row>
    <row r="254" spans="1:8" x14ac:dyDescent="0.3">
      <c r="A254" s="20" t="str">
        <f>IF('Bill Master List'!F6="Yes",'Bill Master List'!A6,"")</f>
        <v>Storage 4</v>
      </c>
      <c r="B254" s="17">
        <f>IF('Bill Master List'!F6="Yes",'Bill Master List'!B6,"")</f>
        <v>98</v>
      </c>
      <c r="C254" s="20">
        <f>IF('Bill Master List'!F6="Yes",'Bill Master List'!C6,"")</f>
        <v>1</v>
      </c>
      <c r="D254" s="20" t="str">
        <f>IF('Bill Master List'!F6="Yes",'Bill Master List'!D6,"")</f>
        <v>Card2</v>
      </c>
      <c r="E254" s="64" t="str">
        <f>IF('Bill Master List'!F6="Yes",'Bill Master List'!E6,"")</f>
        <v>Housing</v>
      </c>
      <c r="F254" s="17">
        <f>IF('Bill Master List'!F6="Yes",'Bill Master List'!G6,"")</f>
        <v>20</v>
      </c>
      <c r="G254" s="64">
        <f>IF('Bill Master List'!F6="Yes",'Bill Master List'!H6,"")</f>
        <v>5</v>
      </c>
      <c r="H254" s="19" t="str">
        <f>IF('Bill Master List'!F6="Yes",'Bill Master List'!I6,"")</f>
        <v>Lien risk after 30 days late</v>
      </c>
    </row>
    <row r="255" spans="1:8" x14ac:dyDescent="0.3">
      <c r="A255" s="20" t="str">
        <f>IF('Bill Master List'!F7="Yes",'Bill Master List'!A7,"")</f>
        <v>Intuit</v>
      </c>
      <c r="B255" s="17">
        <f>IF('Bill Master List'!F7="Yes",'Bill Master List'!B7,"")</f>
        <v>75</v>
      </c>
      <c r="C255" s="20">
        <f>IF('Bill Master List'!F7="Yes",'Bill Master List'!C7,"")</f>
        <v>20</v>
      </c>
      <c r="D255" s="20" t="str">
        <f>IF('Bill Master List'!F7="Yes",'Bill Master List'!D7,"")</f>
        <v>Card2</v>
      </c>
      <c r="E255" s="64" t="str">
        <f>IF('Bill Master List'!F7="Yes",'Bill Master List'!E7,"")</f>
        <v>Utilities</v>
      </c>
      <c r="F255" s="17">
        <f>IF('Bill Master List'!F7="Yes",'Bill Master List'!G7,"")</f>
        <v>0</v>
      </c>
      <c r="G255" s="64">
        <f>IF('Bill Master List'!F7="Yes",'Bill Master List'!H7,"")</f>
        <v>0</v>
      </c>
      <c r="H255" s="19" t="str">
        <f>IF('Bill Master List'!F7="Yes",'Bill Master List'!I7,"")</f>
        <v>Service suspended if unpaid</v>
      </c>
    </row>
    <row r="256" spans="1:8" x14ac:dyDescent="0.3">
      <c r="A256" s="20" t="str">
        <f>IF('Bill Master List'!F8="Yes",'Bill Master List'!A8,"")</f>
        <v>Cell Phone</v>
      </c>
      <c r="B256" s="17">
        <f>IF('Bill Master List'!F8="Yes",'Bill Master List'!B8,"")</f>
        <v>80</v>
      </c>
      <c r="C256" s="20">
        <f>IF('Bill Master List'!F8="Yes",'Bill Master List'!C8,"")</f>
        <v>5</v>
      </c>
      <c r="D256" s="20" t="str">
        <f>IF('Bill Master List'!F8="Yes",'Bill Master List'!D8,"")</f>
        <v>Card3</v>
      </c>
      <c r="E256" s="64" t="str">
        <f>IF('Bill Master List'!F8="Yes",'Bill Master List'!E8,"")</f>
        <v>Phone</v>
      </c>
      <c r="F256" s="17">
        <f>IF('Bill Master List'!F8="Yes",'Bill Master List'!G8,"")</f>
        <v>25</v>
      </c>
      <c r="G256" s="64">
        <f>IF('Bill Master List'!F8="Yes",'Bill Master List'!H8,"")</f>
        <v>0</v>
      </c>
      <c r="H256" s="19" t="str">
        <f>IF('Bill Master List'!F8="Yes",'Bill Master List'!I8,"")</f>
        <v>Service disconnected after 30 days</v>
      </c>
    </row>
    <row r="257" spans="1:8" ht="28.8" customHeight="1" x14ac:dyDescent="0.3">
      <c r="A257" s="20" t="str">
        <f>IF('Bill Master List'!F9="Yes",'Bill Master List'!A9,"")</f>
        <v>Car Payment</v>
      </c>
      <c r="B257" s="17">
        <f>IF('Bill Master List'!F9="Yes",'Bill Master List'!B9,"")</f>
        <v>785</v>
      </c>
      <c r="C257" s="20">
        <f>IF('Bill Master List'!F9="Yes",'Bill Master List'!C9,"")</f>
        <v>24</v>
      </c>
      <c r="D257" s="20" t="str">
        <f>IF('Bill Master List'!F9="Yes",'Bill Master List'!D9,"")</f>
        <v>Card3</v>
      </c>
      <c r="E257" s="64" t="str">
        <f>IF('Bill Master List'!F9="Yes",'Bill Master List'!E9,"")</f>
        <v>Auto</v>
      </c>
      <c r="F257" s="17">
        <f>IF('Bill Master List'!F9="Yes",'Bill Master List'!G9,"")</f>
        <v>39</v>
      </c>
      <c r="G257" s="64">
        <f>IF('Bill Master List'!F9="Yes",'Bill Master List'!H9,"")</f>
        <v>10</v>
      </c>
      <c r="H257" s="19" t="str">
        <f>IF('Bill Master List'!F9="Yes",'Bill Master List'!I9,"")</f>
        <v>Repo risk after 60+ days. Hits credit report at 30 days.</v>
      </c>
    </row>
    <row r="258" spans="1:8" x14ac:dyDescent="0.3">
      <c r="A258" s="20" t="str">
        <f>IF('Bill Master List'!F10="Yes",'Bill Master List'!A10,"")</f>
        <v>Car Insurance</v>
      </c>
      <c r="B258" s="17">
        <f>IF('Bill Master List'!F10="Yes",'Bill Master List'!B10,"")</f>
        <v>0</v>
      </c>
      <c r="C258" s="20">
        <f>IF('Bill Master List'!F10="Yes",'Bill Master List'!C10,"")</f>
        <v>10</v>
      </c>
      <c r="D258" s="20" t="str">
        <f>IF('Bill Master List'!F10="Yes",'Bill Master List'!D10,"")</f>
        <v>Card1</v>
      </c>
      <c r="E258" s="64" t="str">
        <f>IF('Bill Master List'!F10="Yes",'Bill Master List'!E10,"")</f>
        <v>Auto</v>
      </c>
      <c r="F258" s="17">
        <f>IF('Bill Master List'!F10="Yes",'Bill Master List'!G10,"")</f>
        <v>25</v>
      </c>
      <c r="G258" s="64">
        <f>IF('Bill Master List'!F10="Yes",'Bill Master List'!H10,"")</f>
        <v>10</v>
      </c>
      <c r="H258" s="19" t="str">
        <f>IF('Bill Master List'!F10="Yes",'Bill Master List'!I10,"")</f>
        <v>Policy cancellation after lapse</v>
      </c>
    </row>
    <row r="259" spans="1:8" x14ac:dyDescent="0.3">
      <c r="A259" s="20" t="str">
        <f>IF('Bill Master List'!F11="Yes",'Bill Master List'!A11,"")</f>
        <v>Gas/Fuel</v>
      </c>
      <c r="B259" s="17">
        <f>IF('Bill Master List'!F11="Yes",'Bill Master List'!B11,"")</f>
        <v>200</v>
      </c>
      <c r="C259" s="20">
        <f>IF('Bill Master List'!F11="Yes",'Bill Master List'!C11,"")</f>
        <v>15</v>
      </c>
      <c r="D259" s="20" t="str">
        <f>IF('Bill Master List'!F11="Yes",'Bill Master List'!D11,"")</f>
        <v>Card4</v>
      </c>
      <c r="E259" s="64" t="str">
        <f>IF('Bill Master List'!F11="Yes",'Bill Master List'!E11,"")</f>
        <v>Auto</v>
      </c>
      <c r="F259" s="17">
        <f>IF('Bill Master List'!F11="Yes",'Bill Master List'!G11,"")</f>
        <v>0</v>
      </c>
      <c r="G259" s="64">
        <f>IF('Bill Master List'!F11="Yes",'Bill Master List'!H11,"")</f>
        <v>0</v>
      </c>
      <c r="H259" s="19" t="str">
        <f>IF('Bill Master List'!F11="Yes",'Bill Master List'!I11,"")</f>
        <v>Variable expense - no late fee</v>
      </c>
    </row>
    <row r="260" spans="1:8" x14ac:dyDescent="0.3">
      <c r="A260" s="20" t="str">
        <f>IF('Bill Master List'!F12="Yes",'Bill Master List'!A12,"")</f>
        <v>Groceries</v>
      </c>
      <c r="B260" s="17">
        <f>IF('Bill Master List'!F12="Yes",'Bill Master List'!B12,"")</f>
        <v>400</v>
      </c>
      <c r="C260" s="20">
        <f>IF('Bill Master List'!F12="Yes",'Bill Master List'!C12,"")</f>
        <v>1</v>
      </c>
      <c r="D260" s="20" t="str">
        <f>IF('Bill Master List'!F12="Yes",'Bill Master List'!D12,"")</f>
        <v>Card3</v>
      </c>
      <c r="E260" s="64" t="str">
        <f>IF('Bill Master List'!F12="Yes",'Bill Master List'!E12,"")</f>
        <v>Health</v>
      </c>
      <c r="F260" s="17">
        <f>IF('Bill Master List'!F12="Yes",'Bill Master List'!G12,"")</f>
        <v>0</v>
      </c>
      <c r="G260" s="64">
        <f>IF('Bill Master List'!F12="Yes",'Bill Master List'!H12,"")</f>
        <v>0</v>
      </c>
      <c r="H260" s="19" t="str">
        <f>IF('Bill Master List'!F12="Yes",'Bill Master List'!I12,"")</f>
        <v>Variable expense - no late fee</v>
      </c>
    </row>
    <row r="261" spans="1:8" x14ac:dyDescent="0.3">
      <c r="A261" s="20" t="str">
        <f>IF('Bill Master List'!F13="Yes",'Bill Master List'!A13,"")</f>
        <v>Klarna</v>
      </c>
      <c r="B261" s="17">
        <f>IF('Bill Master List'!F13="Yes",'Bill Master List'!B13,"")</f>
        <v>45</v>
      </c>
      <c r="C261" s="20">
        <f>IF('Bill Master List'!F13="Yes",'Bill Master List'!C13,"")</f>
        <v>15</v>
      </c>
      <c r="D261" s="20" t="str">
        <f>IF('Bill Master List'!F13="Yes",'Bill Master List'!D13,"")</f>
        <v>Card2</v>
      </c>
      <c r="E261" s="64" t="str">
        <f>IF('Bill Master List'!F13="Yes",'Bill Master List'!E13,"")</f>
        <v>Entertainment</v>
      </c>
      <c r="F261" s="17">
        <f>IF('Bill Master List'!F13="Yes",'Bill Master List'!G13,"")</f>
        <v>25</v>
      </c>
      <c r="G261" s="64">
        <f>IF('Bill Master List'!F13="Yes",'Bill Master List'!H13,"")</f>
        <v>0</v>
      </c>
      <c r="H261" s="19" t="str">
        <f>IF('Bill Master List'!F13="Yes",'Bill Master List'!I13,"")</f>
        <v>Hits credit after 30 days late</v>
      </c>
    </row>
    <row r="262" spans="1:8" x14ac:dyDescent="0.3">
      <c r="A262" s="20" t="str">
        <f>IF('Bill Master List'!F14="Yes",'Bill Master List'!A14,"")</f>
        <v>Affirm</v>
      </c>
      <c r="B262" s="17">
        <f>IF('Bill Master List'!F14="Yes",'Bill Master List'!B14,"")</f>
        <v>30</v>
      </c>
      <c r="C262" s="20">
        <f>IF('Bill Master List'!F14="Yes",'Bill Master List'!C14,"")</f>
        <v>20</v>
      </c>
      <c r="D262" s="20" t="str">
        <f>IF('Bill Master List'!F14="Yes",'Bill Master List'!D14,"")</f>
        <v>Card5</v>
      </c>
      <c r="E262" s="64" t="str">
        <f>IF('Bill Master List'!F14="Yes",'Bill Master List'!E14,"")</f>
        <v>Food</v>
      </c>
      <c r="F262" s="17">
        <f>IF('Bill Master List'!F14="Yes",'Bill Master List'!G14,"")</f>
        <v>0</v>
      </c>
      <c r="G262" s="64">
        <f>IF('Bill Master List'!F14="Yes",'Bill Master List'!H14,"")</f>
        <v>0</v>
      </c>
      <c r="H262" s="19" t="str">
        <f>IF('Bill Master List'!F14="Yes",'Bill Master List'!I14,"")</f>
        <v>No late fee but hits credit at 30 days</v>
      </c>
    </row>
    <row r="263" spans="1:8" ht="28.8" customHeight="1" x14ac:dyDescent="0.3">
      <c r="A263" s="20" t="str">
        <f>IF('Bill Master List'!F15="Yes",'Bill Master List'!A15,"")</f>
        <v>NTTA</v>
      </c>
      <c r="B263" s="17">
        <f>IF('Bill Master List'!F15="Yes",'Bill Master List'!B15,"")</f>
        <v>600</v>
      </c>
      <c r="C263" s="20">
        <f>IF('Bill Master List'!F15="Yes",'Bill Master List'!C15,"")</f>
        <v>15</v>
      </c>
      <c r="D263" s="20" t="str">
        <f>IF('Bill Master List'!F15="Yes",'Bill Master List'!D15,"")</f>
        <v>Card5</v>
      </c>
      <c r="E263" s="64" t="str">
        <f>IF('Bill Master List'!F15="Yes",'Bill Master List'!E15,"")</f>
        <v>Auto</v>
      </c>
      <c r="F263" s="17">
        <f>IF('Bill Master List'!F15="Yes",'Bill Master List'!G15,"")</f>
        <v>25</v>
      </c>
      <c r="G263" s="64">
        <f>IF('Bill Master List'!F15="Yes",'Bill Master List'!H15,"")</f>
        <v>30</v>
      </c>
      <c r="H263" s="19" t="str">
        <f>IF('Bill Master List'!F15="Yes",'Bill Master List'!I15,"")</f>
        <v>Can block vehicle registration. TxTag balance required.</v>
      </c>
    </row>
    <row r="264" spans="1:8" x14ac:dyDescent="0.3">
      <c r="A264" s="20" t="str">
        <f>IF('Bill Master List'!F16="Yes",'Bill Master List'!A16,"")</f>
        <v/>
      </c>
      <c r="B264" s="17" t="str">
        <f>IF('Bill Master List'!F16="Yes",'Bill Master List'!B16,"")</f>
        <v/>
      </c>
      <c r="C264" s="20" t="str">
        <f>IF('Bill Master List'!F16="Yes",'Bill Master List'!C16,"")</f>
        <v/>
      </c>
      <c r="D264" s="20" t="str">
        <f>IF('Bill Master List'!F16="Yes",'Bill Master List'!D16,"")</f>
        <v/>
      </c>
      <c r="E264" s="64" t="str">
        <f>IF('Bill Master List'!F16="Yes",'Bill Master List'!E16,"")</f>
        <v/>
      </c>
      <c r="F264" s="17" t="str">
        <f>IF('Bill Master List'!F16="Yes",'Bill Master List'!G16,"")</f>
        <v/>
      </c>
      <c r="G264" s="64" t="str">
        <f>IF('Bill Master List'!F16="Yes",'Bill Master List'!H16,"")</f>
        <v/>
      </c>
      <c r="H264" s="19" t="str">
        <f>IF('Bill Master List'!F16="Yes",'Bill Master List'!I16,"")</f>
        <v/>
      </c>
    </row>
    <row r="265" spans="1:8" x14ac:dyDescent="0.3">
      <c r="A265" s="20" t="str">
        <f>IF('Bill Master List'!F17="Yes",'Bill Master List'!A17,"")</f>
        <v/>
      </c>
      <c r="B265" s="17" t="str">
        <f>IF('Bill Master List'!F17="Yes",'Bill Master List'!B17,"")</f>
        <v/>
      </c>
      <c r="C265" s="20" t="str">
        <f>IF('Bill Master List'!F17="Yes",'Bill Master List'!C17,"")</f>
        <v/>
      </c>
      <c r="D265" s="20" t="str">
        <f>IF('Bill Master List'!F17="Yes",'Bill Master List'!D17,"")</f>
        <v/>
      </c>
      <c r="E265" s="64" t="str">
        <f>IF('Bill Master List'!F17="Yes",'Bill Master List'!E17,"")</f>
        <v/>
      </c>
      <c r="F265" s="17" t="str">
        <f>IF('Bill Master List'!F17="Yes",'Bill Master List'!G17,"")</f>
        <v/>
      </c>
      <c r="G265" s="64" t="str">
        <f>IF('Bill Master List'!F17="Yes",'Bill Master List'!H17,"")</f>
        <v/>
      </c>
      <c r="H265" s="19" t="str">
        <f>IF('Bill Master List'!F17="Yes",'Bill Master List'!I17,"")</f>
        <v/>
      </c>
    </row>
    <row r="266" spans="1:8" x14ac:dyDescent="0.3">
      <c r="A266" s="20" t="str">
        <f>IF('Bill Master List'!F18="Yes",'Bill Master List'!A18,"")</f>
        <v/>
      </c>
      <c r="B266" s="17" t="str">
        <f>IF('Bill Master List'!F18="Yes",'Bill Master List'!B18,"")</f>
        <v/>
      </c>
      <c r="C266" s="20" t="str">
        <f>IF('Bill Master List'!F18="Yes",'Bill Master List'!C18,"")</f>
        <v/>
      </c>
      <c r="D266" s="20" t="str">
        <f>IF('Bill Master List'!F18="Yes",'Bill Master List'!D18,"")</f>
        <v/>
      </c>
      <c r="E266" s="64" t="str">
        <f>IF('Bill Master List'!F18="Yes",'Bill Master List'!E18,"")</f>
        <v/>
      </c>
      <c r="F266" s="17" t="str">
        <f>IF('Bill Master List'!F18="Yes",'Bill Master List'!G18,"")</f>
        <v/>
      </c>
      <c r="G266" s="64" t="str">
        <f>IF('Bill Master List'!F18="Yes",'Bill Master List'!H18,"")</f>
        <v/>
      </c>
      <c r="H266" s="19" t="str">
        <f>IF('Bill Master List'!F18="Yes",'Bill Master List'!I18,"")</f>
        <v/>
      </c>
    </row>
    <row r="267" spans="1:8" x14ac:dyDescent="0.3">
      <c r="A267" s="20" t="str">
        <f>IF('Bill Master List'!F19="Yes",'Bill Master List'!A19,"")</f>
        <v/>
      </c>
      <c r="B267" s="17" t="str">
        <f>IF('Bill Master List'!F19="Yes",'Bill Master List'!B19,"")</f>
        <v/>
      </c>
      <c r="C267" s="20" t="str">
        <f>IF('Bill Master List'!F19="Yes",'Bill Master List'!C19,"")</f>
        <v/>
      </c>
      <c r="D267" s="20" t="str">
        <f>IF('Bill Master List'!F19="Yes",'Bill Master List'!D19,"")</f>
        <v/>
      </c>
      <c r="E267" s="64" t="str">
        <f>IF('Bill Master List'!F19="Yes",'Bill Master List'!E19,"")</f>
        <v/>
      </c>
      <c r="F267" s="17" t="str">
        <f>IF('Bill Master List'!F19="Yes",'Bill Master List'!G19,"")</f>
        <v/>
      </c>
      <c r="G267" s="64" t="str">
        <f>IF('Bill Master List'!F19="Yes",'Bill Master List'!H19,"")</f>
        <v/>
      </c>
      <c r="H267" s="19" t="str">
        <f>IF('Bill Master List'!F19="Yes",'Bill Master List'!I19,"")</f>
        <v/>
      </c>
    </row>
    <row r="268" spans="1:8" x14ac:dyDescent="0.3">
      <c r="A268" s="20" t="str">
        <f>IF('Bill Master List'!F20="Yes",'Bill Master List'!A20,"")</f>
        <v/>
      </c>
      <c r="B268" s="17" t="str">
        <f>IF('Bill Master List'!F20="Yes",'Bill Master List'!B20,"")</f>
        <v/>
      </c>
      <c r="C268" s="20" t="str">
        <f>IF('Bill Master List'!F20="Yes",'Bill Master List'!C20,"")</f>
        <v/>
      </c>
      <c r="D268" s="20" t="str">
        <f>IF('Bill Master List'!F20="Yes",'Bill Master List'!D20,"")</f>
        <v/>
      </c>
      <c r="E268" s="64" t="str">
        <f>IF('Bill Master List'!F20="Yes",'Bill Master List'!E20,"")</f>
        <v/>
      </c>
      <c r="F268" s="17" t="str">
        <f>IF('Bill Master List'!F20="Yes",'Bill Master List'!G20,"")</f>
        <v/>
      </c>
      <c r="G268" s="64" t="str">
        <f>IF('Bill Master List'!F20="Yes",'Bill Master List'!H20,"")</f>
        <v/>
      </c>
      <c r="H268" s="19" t="str">
        <f>IF('Bill Master List'!F20="Yes",'Bill Master List'!I20,"")</f>
        <v/>
      </c>
    </row>
    <row r="269" spans="1:8" x14ac:dyDescent="0.3">
      <c r="A269" s="20" t="str">
        <f>IF('Bill Master List'!F21="Yes",'Bill Master List'!A21,"")</f>
        <v/>
      </c>
      <c r="B269" s="17" t="str">
        <f>IF('Bill Master List'!F21="Yes",'Bill Master List'!B21,"")</f>
        <v/>
      </c>
      <c r="C269" s="20" t="str">
        <f>IF('Bill Master List'!F21="Yes",'Bill Master List'!C21,"")</f>
        <v/>
      </c>
      <c r="D269" s="20" t="str">
        <f>IF('Bill Master List'!F21="Yes",'Bill Master List'!D21,"")</f>
        <v/>
      </c>
      <c r="E269" s="64" t="str">
        <f>IF('Bill Master List'!F21="Yes",'Bill Master List'!E21,"")</f>
        <v/>
      </c>
      <c r="F269" s="17" t="str">
        <f>IF('Bill Master List'!F21="Yes",'Bill Master List'!G21,"")</f>
        <v/>
      </c>
      <c r="G269" s="64" t="str">
        <f>IF('Bill Master List'!F21="Yes",'Bill Master List'!H21,"")</f>
        <v/>
      </c>
      <c r="H269" s="19" t="str">
        <f>IF('Bill Master List'!F21="Yes",'Bill Master List'!I21,"")</f>
        <v/>
      </c>
    </row>
    <row r="270" spans="1:8" x14ac:dyDescent="0.3">
      <c r="A270" s="20" t="str">
        <f>IF('Bill Master List'!F22="Yes",'Bill Master List'!A22,"")</f>
        <v/>
      </c>
      <c r="B270" s="17" t="str">
        <f>IF('Bill Master List'!F22="Yes",'Bill Master List'!B22,"")</f>
        <v/>
      </c>
      <c r="C270" s="20" t="str">
        <f>IF('Bill Master List'!F22="Yes",'Bill Master List'!C22,"")</f>
        <v/>
      </c>
      <c r="D270" s="20" t="str">
        <f>IF('Bill Master List'!F22="Yes",'Bill Master List'!D22,"")</f>
        <v/>
      </c>
      <c r="E270" s="64" t="str">
        <f>IF('Bill Master List'!F22="Yes",'Bill Master List'!E22,"")</f>
        <v/>
      </c>
      <c r="F270" s="17" t="str">
        <f>IF('Bill Master List'!F22="Yes",'Bill Master List'!G22,"")</f>
        <v/>
      </c>
      <c r="G270" s="64" t="str">
        <f>IF('Bill Master List'!F22="Yes",'Bill Master List'!H22,"")</f>
        <v/>
      </c>
      <c r="H270" s="19" t="str">
        <f>IF('Bill Master List'!F22="Yes",'Bill Master List'!I22,"")</f>
        <v/>
      </c>
    </row>
    <row r="271" spans="1:8" x14ac:dyDescent="0.3">
      <c r="A271" s="20" t="str">
        <f>IF('Bill Master List'!F23="Yes",'Bill Master List'!A23,"")</f>
        <v/>
      </c>
      <c r="B271" s="17" t="str">
        <f>IF('Bill Master List'!F23="Yes",'Bill Master List'!B23,"")</f>
        <v/>
      </c>
      <c r="C271" s="20" t="str">
        <f>IF('Bill Master List'!F23="Yes",'Bill Master List'!C23,"")</f>
        <v/>
      </c>
      <c r="D271" s="20" t="str">
        <f>IF('Bill Master List'!F23="Yes",'Bill Master List'!D23,"")</f>
        <v/>
      </c>
      <c r="E271" s="64" t="str">
        <f>IF('Bill Master List'!F23="Yes",'Bill Master List'!E23,"")</f>
        <v/>
      </c>
      <c r="F271" s="17" t="str">
        <f>IF('Bill Master List'!F23="Yes",'Bill Master List'!G23,"")</f>
        <v/>
      </c>
      <c r="G271" s="64" t="str">
        <f>IF('Bill Master List'!F23="Yes",'Bill Master List'!H23,"")</f>
        <v/>
      </c>
      <c r="H271" s="19" t="str">
        <f>IF('Bill Master List'!F23="Yes",'Bill Master List'!I23,"")</f>
        <v/>
      </c>
    </row>
    <row r="272" spans="1:8" x14ac:dyDescent="0.3">
      <c r="A272" s="20" t="str">
        <f>IF('Bill Master List'!F24="Yes",'Bill Master List'!A24,"")</f>
        <v/>
      </c>
      <c r="B272" s="17" t="str">
        <f>IF('Bill Master List'!F24="Yes",'Bill Master List'!B24,"")</f>
        <v/>
      </c>
      <c r="C272" s="20" t="str">
        <f>IF('Bill Master List'!F24="Yes",'Bill Master List'!C24,"")</f>
        <v/>
      </c>
      <c r="D272" s="20" t="str">
        <f>IF('Bill Master List'!F24="Yes",'Bill Master List'!D24,"")</f>
        <v/>
      </c>
      <c r="E272" s="64" t="str">
        <f>IF('Bill Master List'!F24="Yes",'Bill Master List'!E24,"")</f>
        <v/>
      </c>
      <c r="F272" s="17" t="str">
        <f>IF('Bill Master List'!F24="Yes",'Bill Master List'!G24,"")</f>
        <v/>
      </c>
      <c r="G272" s="64" t="str">
        <f>IF('Bill Master List'!F24="Yes",'Bill Master List'!H24,"")</f>
        <v/>
      </c>
      <c r="H272" s="19" t="str">
        <f>IF('Bill Master List'!F24="Yes",'Bill Master List'!I24,"")</f>
        <v/>
      </c>
    </row>
    <row r="273" spans="1:8" x14ac:dyDescent="0.3">
      <c r="A273" s="20" t="str">
        <f>IF('Bill Master List'!F25="Yes",'Bill Master List'!A25,"")</f>
        <v/>
      </c>
      <c r="B273" s="17" t="str">
        <f>IF('Bill Master List'!F25="Yes",'Bill Master List'!B25,"")</f>
        <v/>
      </c>
      <c r="C273" s="20" t="str">
        <f>IF('Bill Master List'!F25="Yes",'Bill Master List'!C25,"")</f>
        <v/>
      </c>
      <c r="D273" s="20" t="str">
        <f>IF('Bill Master List'!F25="Yes",'Bill Master List'!D25,"")</f>
        <v/>
      </c>
      <c r="E273" s="64" t="str">
        <f>IF('Bill Master List'!F25="Yes",'Bill Master List'!E25,"")</f>
        <v/>
      </c>
      <c r="F273" s="17" t="str">
        <f>IF('Bill Master List'!F25="Yes",'Bill Master List'!G25,"")</f>
        <v/>
      </c>
      <c r="G273" s="64" t="str">
        <f>IF('Bill Master List'!F25="Yes",'Bill Master List'!H25,"")</f>
        <v/>
      </c>
      <c r="H273" s="19" t="str">
        <f>IF('Bill Master List'!F25="Yes",'Bill Master List'!I25,"")</f>
        <v/>
      </c>
    </row>
    <row r="274" spans="1:8" x14ac:dyDescent="0.3">
      <c r="A274" s="20" t="str">
        <f>IF('Bill Master List'!F26="Yes",'Bill Master List'!A26,"")</f>
        <v/>
      </c>
      <c r="B274" s="17" t="str">
        <f>IF('Bill Master List'!F26="Yes",'Bill Master List'!B26,"")</f>
        <v/>
      </c>
      <c r="C274" s="20" t="str">
        <f>IF('Bill Master List'!F26="Yes",'Bill Master List'!C26,"")</f>
        <v/>
      </c>
      <c r="D274" s="20" t="str">
        <f>IF('Bill Master List'!F26="Yes",'Bill Master List'!D26,"")</f>
        <v/>
      </c>
      <c r="E274" s="64" t="str">
        <f>IF('Bill Master List'!F26="Yes",'Bill Master List'!E26,"")</f>
        <v/>
      </c>
      <c r="F274" s="17" t="str">
        <f>IF('Bill Master List'!F26="Yes",'Bill Master List'!G26,"")</f>
        <v/>
      </c>
      <c r="G274" s="64" t="str">
        <f>IF('Bill Master List'!F26="Yes",'Bill Master List'!H26,"")</f>
        <v/>
      </c>
      <c r="H274" s="19" t="str">
        <f>IF('Bill Master List'!F26="Yes",'Bill Master List'!I26,"")</f>
        <v/>
      </c>
    </row>
    <row r="275" spans="1:8" x14ac:dyDescent="0.3">
      <c r="A275" s="20" t="str">
        <f>IF('Bill Master List'!F27="Yes",'Bill Master List'!A27,"")</f>
        <v/>
      </c>
      <c r="B275" s="17" t="str">
        <f>IF('Bill Master List'!F27="Yes",'Bill Master List'!B27,"")</f>
        <v/>
      </c>
      <c r="C275" s="20" t="str">
        <f>IF('Bill Master List'!F27="Yes",'Bill Master List'!C27,"")</f>
        <v/>
      </c>
      <c r="D275" s="20" t="str">
        <f>IF('Bill Master List'!F27="Yes",'Bill Master List'!D27,"")</f>
        <v/>
      </c>
      <c r="E275" s="64" t="str">
        <f>IF('Bill Master List'!F27="Yes",'Bill Master List'!E27,"")</f>
        <v/>
      </c>
      <c r="F275" s="17" t="str">
        <f>IF('Bill Master List'!F27="Yes",'Bill Master List'!G27,"")</f>
        <v/>
      </c>
      <c r="G275" s="64" t="str">
        <f>IF('Bill Master List'!F27="Yes",'Bill Master List'!H27,"")</f>
        <v/>
      </c>
      <c r="H275" s="19" t="str">
        <f>IF('Bill Master List'!F27="Yes",'Bill Master List'!I27,"")</f>
        <v/>
      </c>
    </row>
    <row r="276" spans="1:8" x14ac:dyDescent="0.3">
      <c r="A276" s="20" t="str">
        <f>IF('Bill Master List'!F28="Yes",'Bill Master List'!A28,"")</f>
        <v/>
      </c>
      <c r="B276" s="17" t="str">
        <f>IF('Bill Master List'!F28="Yes",'Bill Master List'!B28,"")</f>
        <v/>
      </c>
      <c r="C276" s="20" t="str">
        <f>IF('Bill Master List'!F28="Yes",'Bill Master List'!C28,"")</f>
        <v/>
      </c>
      <c r="D276" s="20" t="str">
        <f>IF('Bill Master List'!F28="Yes",'Bill Master List'!D28,"")</f>
        <v/>
      </c>
      <c r="E276" s="64" t="str">
        <f>IF('Bill Master List'!F28="Yes",'Bill Master List'!E28,"")</f>
        <v/>
      </c>
      <c r="F276" s="17" t="str">
        <f>IF('Bill Master List'!F28="Yes",'Bill Master List'!G28,"")</f>
        <v/>
      </c>
      <c r="G276" s="64" t="str">
        <f>IF('Bill Master List'!F28="Yes",'Bill Master List'!H28,"")</f>
        <v/>
      </c>
      <c r="H276" s="19" t="str">
        <f>IF('Bill Master List'!F28="Yes",'Bill Master List'!I28,"")</f>
        <v/>
      </c>
    </row>
    <row r="277" spans="1:8" x14ac:dyDescent="0.3">
      <c r="A277" s="20" t="str">
        <f>IF('Bill Master List'!F29="Yes",'Bill Master List'!A29,"")</f>
        <v/>
      </c>
      <c r="B277" s="17" t="str">
        <f>IF('Bill Master List'!F29="Yes",'Bill Master List'!B29,"")</f>
        <v/>
      </c>
      <c r="C277" s="20" t="str">
        <f>IF('Bill Master List'!F29="Yes",'Bill Master List'!C29,"")</f>
        <v/>
      </c>
      <c r="D277" s="20" t="str">
        <f>IF('Bill Master List'!F29="Yes",'Bill Master List'!D29,"")</f>
        <v/>
      </c>
      <c r="E277" s="64" t="str">
        <f>IF('Bill Master List'!F29="Yes",'Bill Master List'!E29,"")</f>
        <v/>
      </c>
      <c r="F277" s="17" t="str">
        <f>IF('Bill Master List'!F29="Yes",'Bill Master List'!G29,"")</f>
        <v/>
      </c>
      <c r="G277" s="64" t="str">
        <f>IF('Bill Master List'!F29="Yes",'Bill Master List'!H29,"")</f>
        <v/>
      </c>
      <c r="H277" s="19" t="str">
        <f>IF('Bill Master List'!F29="Yes",'Bill Master List'!I29,"")</f>
        <v/>
      </c>
    </row>
    <row r="278" spans="1:8" x14ac:dyDescent="0.3">
      <c r="A278" s="20" t="str">
        <f>IF('Bill Master List'!F30="Yes",'Bill Master List'!A30,"")</f>
        <v/>
      </c>
      <c r="B278" s="17" t="str">
        <f>IF('Bill Master List'!F30="Yes",'Bill Master List'!B30,"")</f>
        <v/>
      </c>
      <c r="C278" s="20" t="str">
        <f>IF('Bill Master List'!F30="Yes",'Bill Master List'!C30,"")</f>
        <v/>
      </c>
      <c r="D278" s="20" t="str">
        <f>IF('Bill Master List'!F30="Yes",'Bill Master List'!D30,"")</f>
        <v/>
      </c>
      <c r="E278" s="64" t="str">
        <f>IF('Bill Master List'!F30="Yes",'Bill Master List'!E30,"")</f>
        <v/>
      </c>
      <c r="F278" s="17" t="str">
        <f>IF('Bill Master List'!F30="Yes",'Bill Master List'!G30,"")</f>
        <v/>
      </c>
      <c r="G278" s="64" t="str">
        <f>IF('Bill Master List'!F30="Yes",'Bill Master List'!H30,"")</f>
        <v/>
      </c>
      <c r="H278" s="19" t="str">
        <f>IF('Bill Master List'!F30="Yes",'Bill Master List'!I30,"")</f>
        <v/>
      </c>
    </row>
    <row r="279" spans="1:8" x14ac:dyDescent="0.3">
      <c r="A279" s="20" t="str">
        <f>IF('Bill Master List'!F31="Yes",'Bill Master List'!A31,"")</f>
        <v/>
      </c>
      <c r="B279" s="17" t="str">
        <f>IF('Bill Master List'!F31="Yes",'Bill Master List'!B31,"")</f>
        <v/>
      </c>
      <c r="C279" s="20" t="str">
        <f>IF('Bill Master List'!F31="Yes",'Bill Master List'!C31,"")</f>
        <v/>
      </c>
      <c r="D279" s="20" t="str">
        <f>IF('Bill Master List'!F31="Yes",'Bill Master List'!D31,"")</f>
        <v/>
      </c>
      <c r="E279" s="64" t="str">
        <f>IF('Bill Master List'!F31="Yes",'Bill Master List'!E31,"")</f>
        <v/>
      </c>
      <c r="F279" s="17" t="str">
        <f>IF('Bill Master List'!F31="Yes",'Bill Master List'!G31,"")</f>
        <v/>
      </c>
      <c r="G279" s="64" t="str">
        <f>IF('Bill Master List'!F31="Yes",'Bill Master List'!H31,"")</f>
        <v/>
      </c>
      <c r="H279" s="19" t="str">
        <f>IF('Bill Master List'!F31="Yes",'Bill Master List'!I31,"")</f>
        <v/>
      </c>
    </row>
    <row r="280" spans="1:8" x14ac:dyDescent="0.3">
      <c r="A280" s="20" t="str">
        <f>IF('Bill Master List'!F32="Yes",'Bill Master List'!A32,"")</f>
        <v/>
      </c>
      <c r="B280" s="17" t="str">
        <f>IF('Bill Master List'!F32="Yes",'Bill Master List'!B32,"")</f>
        <v/>
      </c>
      <c r="C280" s="20" t="str">
        <f>IF('Bill Master List'!F32="Yes",'Bill Master List'!C32,"")</f>
        <v/>
      </c>
      <c r="D280" s="20" t="str">
        <f>IF('Bill Master List'!F32="Yes",'Bill Master List'!D32,"")</f>
        <v/>
      </c>
      <c r="E280" s="64" t="str">
        <f>IF('Bill Master List'!F32="Yes",'Bill Master List'!E32,"")</f>
        <v/>
      </c>
      <c r="F280" s="17" t="str">
        <f>IF('Bill Master List'!F32="Yes",'Bill Master List'!G32,"")</f>
        <v/>
      </c>
      <c r="G280" s="64" t="str">
        <f>IF('Bill Master List'!F32="Yes",'Bill Master List'!H32,"")</f>
        <v/>
      </c>
      <c r="H280" s="19" t="str">
        <f>IF('Bill Master List'!F32="Yes",'Bill Master List'!I32,"")</f>
        <v/>
      </c>
    </row>
    <row r="281" spans="1:8" x14ac:dyDescent="0.3">
      <c r="A281" s="22" t="s">
        <v>172</v>
      </c>
      <c r="B281" s="23" t="s">
        <v>173</v>
      </c>
      <c r="C281" s="23" t="s">
        <v>174</v>
      </c>
      <c r="D281" s="23" t="s">
        <v>175</v>
      </c>
      <c r="E281" s="68" t="s">
        <v>176</v>
      </c>
      <c r="F281" s="23" t="s">
        <v>177</v>
      </c>
      <c r="G281" s="65" t="s">
        <v>178</v>
      </c>
      <c r="H281" s="24" t="s">
        <v>179</v>
      </c>
    </row>
    <row r="282" spans="1:8" x14ac:dyDescent="0.3">
      <c r="B282" s="25">
        <f>SUMIF(D251:D280,"Card1",B251:B280)</f>
        <v>587</v>
      </c>
      <c r="C282" s="25">
        <f>SUMIF(D251:D280,"Card2",B251:B280)</f>
        <v>398</v>
      </c>
      <c r="D282" s="25">
        <f>SUMIF(D251:D280,"Card3",B251:B280)</f>
        <v>1265</v>
      </c>
      <c r="E282" s="69">
        <f>SUMIF(D251:D280,"Card4",B251:B280)</f>
        <v>200</v>
      </c>
      <c r="F282" s="25">
        <f>SUMIF(D251:D280,"Card5",B251:B280)</f>
        <v>630</v>
      </c>
      <c r="G282" s="66">
        <f>SUM(B251:B280)</f>
        <v>3080</v>
      </c>
      <c r="H282" s="26">
        <f>SUM(F251:F280)</f>
        <v>249</v>
      </c>
    </row>
    <row r="284" spans="1:8" ht="15.6" customHeight="1" x14ac:dyDescent="0.3">
      <c r="A284" s="98" t="s">
        <v>187</v>
      </c>
      <c r="B284" s="86"/>
      <c r="C284" s="86"/>
      <c r="D284" s="86"/>
      <c r="E284" s="97"/>
      <c r="F284" s="86"/>
      <c r="G284" s="97"/>
      <c r="H284" s="86"/>
    </row>
    <row r="285" spans="1:8" x14ac:dyDescent="0.3">
      <c r="A285" s="21" t="s">
        <v>130</v>
      </c>
      <c r="B285" s="21" t="s">
        <v>131</v>
      </c>
      <c r="C285" s="21" t="s">
        <v>96</v>
      </c>
      <c r="D285" s="21" t="s">
        <v>170</v>
      </c>
      <c r="E285" s="63" t="s">
        <v>133</v>
      </c>
      <c r="F285" s="21" t="s">
        <v>134</v>
      </c>
      <c r="G285" s="63" t="s">
        <v>171</v>
      </c>
      <c r="H285" s="21" t="s">
        <v>136</v>
      </c>
    </row>
    <row r="286" spans="1:8" x14ac:dyDescent="0.3">
      <c r="A286" s="20" t="str">
        <f>IF('Bill Master List'!F3="Yes",'Bill Master List'!A3,"")</f>
        <v>Storage 1</v>
      </c>
      <c r="B286" s="17">
        <f>IF('Bill Master List'!F3="Yes",'Bill Master List'!B3,"")</f>
        <v>478</v>
      </c>
      <c r="C286" s="20">
        <f>IF('Bill Master List'!F3="Yes",'Bill Master List'!C3,"")</f>
        <v>1</v>
      </c>
      <c r="D286" s="20" t="str">
        <f>IF('Bill Master List'!F3="Yes",'Bill Master List'!D3,"")</f>
        <v>Card1</v>
      </c>
      <c r="E286" s="64" t="str">
        <f>IF('Bill Master List'!F3="Yes",'Bill Master List'!E3,"")</f>
        <v>Housing</v>
      </c>
      <c r="F286" s="17">
        <f>IF('Bill Master List'!F3="Yes",'Bill Master List'!G3,"")</f>
        <v>40</v>
      </c>
      <c r="G286" s="64">
        <f>IF('Bill Master List'!F3="Yes",'Bill Master List'!H3,"")</f>
        <v>5</v>
      </c>
      <c r="H286" s="19" t="str">
        <f>IF('Bill Master List'!F3="Yes",'Bill Master List'!I3,"")</f>
        <v>Lien risk after 30 days late</v>
      </c>
    </row>
    <row r="287" spans="1:8" x14ac:dyDescent="0.3">
      <c r="A287" s="20" t="str">
        <f>IF('Bill Master List'!F4="Yes",'Bill Master List'!A4,"")</f>
        <v>Storage 2</v>
      </c>
      <c r="B287" s="17">
        <f>IF('Bill Master List'!F4="Yes",'Bill Master List'!B4,"")</f>
        <v>109</v>
      </c>
      <c r="C287" s="20">
        <f>IF('Bill Master List'!F4="Yes",'Bill Master List'!C4,"")</f>
        <v>1</v>
      </c>
      <c r="D287" s="20" t="str">
        <f>IF('Bill Master List'!F4="Yes",'Bill Master List'!D4,"")</f>
        <v>Card1</v>
      </c>
      <c r="E287" s="64" t="str">
        <f>IF('Bill Master List'!F4="Yes",'Bill Master List'!E4,"")</f>
        <v>Housing</v>
      </c>
      <c r="F287" s="17">
        <f>IF('Bill Master List'!F4="Yes",'Bill Master List'!G4,"")</f>
        <v>25</v>
      </c>
      <c r="G287" s="64">
        <f>IF('Bill Master List'!F4="Yes",'Bill Master List'!H4,"")</f>
        <v>5</v>
      </c>
      <c r="H287" s="19" t="str">
        <f>IF('Bill Master List'!F4="Yes",'Bill Master List'!I4,"")</f>
        <v>Lien risk after 30 days late</v>
      </c>
    </row>
    <row r="288" spans="1:8" x14ac:dyDescent="0.3">
      <c r="A288" s="20" t="str">
        <f>IF('Bill Master List'!F5="Yes",'Bill Master List'!A5,"")</f>
        <v>Storage 3</v>
      </c>
      <c r="B288" s="17">
        <f>IF('Bill Master List'!F5="Yes",'Bill Master List'!B5,"")</f>
        <v>180</v>
      </c>
      <c r="C288" s="20">
        <f>IF('Bill Master List'!F5="Yes",'Bill Master List'!C5,"")</f>
        <v>1</v>
      </c>
      <c r="D288" s="20" t="str">
        <f>IF('Bill Master List'!F5="Yes",'Bill Master List'!D5,"")</f>
        <v>Card2</v>
      </c>
      <c r="E288" s="64" t="str">
        <f>IF('Bill Master List'!F5="Yes",'Bill Master List'!E5,"")</f>
        <v>Housing</v>
      </c>
      <c r="F288" s="17">
        <f>IF('Bill Master List'!F5="Yes",'Bill Master List'!G5,"")</f>
        <v>25</v>
      </c>
      <c r="G288" s="64">
        <f>IF('Bill Master List'!F5="Yes",'Bill Master List'!H5,"")</f>
        <v>5</v>
      </c>
      <c r="H288" s="19" t="str">
        <f>IF('Bill Master List'!F5="Yes",'Bill Master List'!I5,"")</f>
        <v>Lien risk after 30 days late</v>
      </c>
    </row>
    <row r="289" spans="1:8" x14ac:dyDescent="0.3">
      <c r="A289" s="20" t="str">
        <f>IF('Bill Master List'!F6="Yes",'Bill Master List'!A6,"")</f>
        <v>Storage 4</v>
      </c>
      <c r="B289" s="17">
        <f>IF('Bill Master List'!F6="Yes",'Bill Master List'!B6,"")</f>
        <v>98</v>
      </c>
      <c r="C289" s="20">
        <f>IF('Bill Master List'!F6="Yes",'Bill Master List'!C6,"")</f>
        <v>1</v>
      </c>
      <c r="D289" s="20" t="str">
        <f>IF('Bill Master List'!F6="Yes",'Bill Master List'!D6,"")</f>
        <v>Card2</v>
      </c>
      <c r="E289" s="64" t="str">
        <f>IF('Bill Master List'!F6="Yes",'Bill Master List'!E6,"")</f>
        <v>Housing</v>
      </c>
      <c r="F289" s="17">
        <f>IF('Bill Master List'!F6="Yes",'Bill Master List'!G6,"")</f>
        <v>20</v>
      </c>
      <c r="G289" s="64">
        <f>IF('Bill Master List'!F6="Yes",'Bill Master List'!H6,"")</f>
        <v>5</v>
      </c>
      <c r="H289" s="19" t="str">
        <f>IF('Bill Master List'!F6="Yes",'Bill Master List'!I6,"")</f>
        <v>Lien risk after 30 days late</v>
      </c>
    </row>
    <row r="290" spans="1:8" x14ac:dyDescent="0.3">
      <c r="A290" s="20" t="str">
        <f>IF('Bill Master List'!F7="Yes",'Bill Master List'!A7,"")</f>
        <v>Intuit</v>
      </c>
      <c r="B290" s="17">
        <f>IF('Bill Master List'!F7="Yes",'Bill Master List'!B7,"")</f>
        <v>75</v>
      </c>
      <c r="C290" s="20">
        <f>IF('Bill Master List'!F7="Yes",'Bill Master List'!C7,"")</f>
        <v>20</v>
      </c>
      <c r="D290" s="20" t="str">
        <f>IF('Bill Master List'!F7="Yes",'Bill Master List'!D7,"")</f>
        <v>Card2</v>
      </c>
      <c r="E290" s="64" t="str">
        <f>IF('Bill Master List'!F7="Yes",'Bill Master List'!E7,"")</f>
        <v>Utilities</v>
      </c>
      <c r="F290" s="17">
        <f>IF('Bill Master List'!F7="Yes",'Bill Master List'!G7,"")</f>
        <v>0</v>
      </c>
      <c r="G290" s="64">
        <f>IF('Bill Master List'!F7="Yes",'Bill Master List'!H7,"")</f>
        <v>0</v>
      </c>
      <c r="H290" s="19" t="str">
        <f>IF('Bill Master List'!F7="Yes",'Bill Master List'!I7,"")</f>
        <v>Service suspended if unpaid</v>
      </c>
    </row>
    <row r="291" spans="1:8" x14ac:dyDescent="0.3">
      <c r="A291" s="20" t="str">
        <f>IF('Bill Master List'!F8="Yes",'Bill Master List'!A8,"")</f>
        <v>Cell Phone</v>
      </c>
      <c r="B291" s="17">
        <f>IF('Bill Master List'!F8="Yes",'Bill Master List'!B8,"")</f>
        <v>80</v>
      </c>
      <c r="C291" s="20">
        <f>IF('Bill Master List'!F8="Yes",'Bill Master List'!C8,"")</f>
        <v>5</v>
      </c>
      <c r="D291" s="20" t="str">
        <f>IF('Bill Master List'!F8="Yes",'Bill Master List'!D8,"")</f>
        <v>Card3</v>
      </c>
      <c r="E291" s="64" t="str">
        <f>IF('Bill Master List'!F8="Yes",'Bill Master List'!E8,"")</f>
        <v>Phone</v>
      </c>
      <c r="F291" s="17">
        <f>IF('Bill Master List'!F8="Yes",'Bill Master List'!G8,"")</f>
        <v>25</v>
      </c>
      <c r="G291" s="64">
        <f>IF('Bill Master List'!F8="Yes",'Bill Master List'!H8,"")</f>
        <v>0</v>
      </c>
      <c r="H291" s="19" t="str">
        <f>IF('Bill Master List'!F8="Yes",'Bill Master List'!I8,"")</f>
        <v>Service disconnected after 30 days</v>
      </c>
    </row>
    <row r="292" spans="1:8" ht="28.8" customHeight="1" x14ac:dyDescent="0.3">
      <c r="A292" s="20" t="str">
        <f>IF('Bill Master List'!F9="Yes",'Bill Master List'!A9,"")</f>
        <v>Car Payment</v>
      </c>
      <c r="B292" s="17">
        <f>IF('Bill Master List'!F9="Yes",'Bill Master List'!B9,"")</f>
        <v>785</v>
      </c>
      <c r="C292" s="20">
        <f>IF('Bill Master List'!F9="Yes",'Bill Master List'!C9,"")</f>
        <v>24</v>
      </c>
      <c r="D292" s="20" t="str">
        <f>IF('Bill Master List'!F9="Yes",'Bill Master List'!D9,"")</f>
        <v>Card3</v>
      </c>
      <c r="E292" s="64" t="str">
        <f>IF('Bill Master List'!F9="Yes",'Bill Master List'!E9,"")</f>
        <v>Auto</v>
      </c>
      <c r="F292" s="17">
        <f>IF('Bill Master List'!F9="Yes",'Bill Master List'!G9,"")</f>
        <v>39</v>
      </c>
      <c r="G292" s="64">
        <f>IF('Bill Master List'!F9="Yes",'Bill Master List'!H9,"")</f>
        <v>10</v>
      </c>
      <c r="H292" s="19" t="str">
        <f>IF('Bill Master List'!F9="Yes",'Bill Master List'!I9,"")</f>
        <v>Repo risk after 60+ days. Hits credit report at 30 days.</v>
      </c>
    </row>
    <row r="293" spans="1:8" x14ac:dyDescent="0.3">
      <c r="A293" s="20" t="str">
        <f>IF('Bill Master List'!F10="Yes",'Bill Master List'!A10,"")</f>
        <v>Car Insurance</v>
      </c>
      <c r="B293" s="17">
        <f>IF('Bill Master List'!F10="Yes",'Bill Master List'!B10,"")</f>
        <v>0</v>
      </c>
      <c r="C293" s="20">
        <f>IF('Bill Master List'!F10="Yes",'Bill Master List'!C10,"")</f>
        <v>10</v>
      </c>
      <c r="D293" s="20" t="str">
        <f>IF('Bill Master List'!F10="Yes",'Bill Master List'!D10,"")</f>
        <v>Card1</v>
      </c>
      <c r="E293" s="64" t="str">
        <f>IF('Bill Master List'!F10="Yes",'Bill Master List'!E10,"")</f>
        <v>Auto</v>
      </c>
      <c r="F293" s="17">
        <f>IF('Bill Master List'!F10="Yes",'Bill Master List'!G10,"")</f>
        <v>25</v>
      </c>
      <c r="G293" s="64">
        <f>IF('Bill Master List'!F10="Yes",'Bill Master List'!H10,"")</f>
        <v>10</v>
      </c>
      <c r="H293" s="19" t="str">
        <f>IF('Bill Master List'!F10="Yes",'Bill Master List'!I10,"")</f>
        <v>Policy cancellation after lapse</v>
      </c>
    </row>
    <row r="294" spans="1:8" x14ac:dyDescent="0.3">
      <c r="A294" s="20" t="str">
        <f>IF('Bill Master List'!F11="Yes",'Bill Master List'!A11,"")</f>
        <v>Gas/Fuel</v>
      </c>
      <c r="B294" s="17">
        <f>IF('Bill Master List'!F11="Yes",'Bill Master List'!B11,"")</f>
        <v>200</v>
      </c>
      <c r="C294" s="20">
        <f>IF('Bill Master List'!F11="Yes",'Bill Master List'!C11,"")</f>
        <v>15</v>
      </c>
      <c r="D294" s="20" t="str">
        <f>IF('Bill Master List'!F11="Yes",'Bill Master List'!D11,"")</f>
        <v>Card4</v>
      </c>
      <c r="E294" s="64" t="str">
        <f>IF('Bill Master List'!F11="Yes",'Bill Master List'!E11,"")</f>
        <v>Auto</v>
      </c>
      <c r="F294" s="17">
        <f>IF('Bill Master List'!F11="Yes",'Bill Master List'!G11,"")</f>
        <v>0</v>
      </c>
      <c r="G294" s="64">
        <f>IF('Bill Master List'!F11="Yes",'Bill Master List'!H11,"")</f>
        <v>0</v>
      </c>
      <c r="H294" s="19" t="str">
        <f>IF('Bill Master List'!F11="Yes",'Bill Master List'!I11,"")</f>
        <v>Variable expense - no late fee</v>
      </c>
    </row>
    <row r="295" spans="1:8" x14ac:dyDescent="0.3">
      <c r="A295" s="20" t="str">
        <f>IF('Bill Master List'!F12="Yes",'Bill Master List'!A12,"")</f>
        <v>Groceries</v>
      </c>
      <c r="B295" s="17">
        <f>IF('Bill Master List'!F12="Yes",'Bill Master List'!B12,"")</f>
        <v>400</v>
      </c>
      <c r="C295" s="20">
        <f>IF('Bill Master List'!F12="Yes",'Bill Master List'!C12,"")</f>
        <v>1</v>
      </c>
      <c r="D295" s="20" t="str">
        <f>IF('Bill Master List'!F12="Yes",'Bill Master List'!D12,"")</f>
        <v>Card3</v>
      </c>
      <c r="E295" s="64" t="str">
        <f>IF('Bill Master List'!F12="Yes",'Bill Master List'!E12,"")</f>
        <v>Health</v>
      </c>
      <c r="F295" s="17">
        <f>IF('Bill Master List'!F12="Yes",'Bill Master List'!G12,"")</f>
        <v>0</v>
      </c>
      <c r="G295" s="64">
        <f>IF('Bill Master List'!F12="Yes",'Bill Master List'!H12,"")</f>
        <v>0</v>
      </c>
      <c r="H295" s="19" t="str">
        <f>IF('Bill Master List'!F12="Yes",'Bill Master List'!I12,"")</f>
        <v>Variable expense - no late fee</v>
      </c>
    </row>
    <row r="296" spans="1:8" x14ac:dyDescent="0.3">
      <c r="A296" s="20" t="str">
        <f>IF('Bill Master List'!F13="Yes",'Bill Master List'!A13,"")</f>
        <v>Klarna</v>
      </c>
      <c r="B296" s="17">
        <f>IF('Bill Master List'!F13="Yes",'Bill Master List'!B13,"")</f>
        <v>45</v>
      </c>
      <c r="C296" s="20">
        <f>IF('Bill Master List'!F13="Yes",'Bill Master List'!C13,"")</f>
        <v>15</v>
      </c>
      <c r="D296" s="20" t="str">
        <f>IF('Bill Master List'!F13="Yes",'Bill Master List'!D13,"")</f>
        <v>Card2</v>
      </c>
      <c r="E296" s="64" t="str">
        <f>IF('Bill Master List'!F13="Yes",'Bill Master List'!E13,"")</f>
        <v>Entertainment</v>
      </c>
      <c r="F296" s="17">
        <f>IF('Bill Master List'!F13="Yes",'Bill Master List'!G13,"")</f>
        <v>25</v>
      </c>
      <c r="G296" s="64">
        <f>IF('Bill Master List'!F13="Yes",'Bill Master List'!H13,"")</f>
        <v>0</v>
      </c>
      <c r="H296" s="19" t="str">
        <f>IF('Bill Master List'!F13="Yes",'Bill Master List'!I13,"")</f>
        <v>Hits credit after 30 days late</v>
      </c>
    </row>
    <row r="297" spans="1:8" x14ac:dyDescent="0.3">
      <c r="A297" s="20" t="str">
        <f>IF('Bill Master List'!F14="Yes",'Bill Master List'!A14,"")</f>
        <v>Affirm</v>
      </c>
      <c r="B297" s="17">
        <f>IF('Bill Master List'!F14="Yes",'Bill Master List'!B14,"")</f>
        <v>30</v>
      </c>
      <c r="C297" s="20">
        <f>IF('Bill Master List'!F14="Yes",'Bill Master List'!C14,"")</f>
        <v>20</v>
      </c>
      <c r="D297" s="20" t="str">
        <f>IF('Bill Master List'!F14="Yes",'Bill Master List'!D14,"")</f>
        <v>Card5</v>
      </c>
      <c r="E297" s="64" t="str">
        <f>IF('Bill Master List'!F14="Yes",'Bill Master List'!E14,"")</f>
        <v>Food</v>
      </c>
      <c r="F297" s="17">
        <f>IF('Bill Master List'!F14="Yes",'Bill Master List'!G14,"")</f>
        <v>0</v>
      </c>
      <c r="G297" s="64">
        <f>IF('Bill Master List'!F14="Yes",'Bill Master List'!H14,"")</f>
        <v>0</v>
      </c>
      <c r="H297" s="19" t="str">
        <f>IF('Bill Master List'!F14="Yes",'Bill Master List'!I14,"")</f>
        <v>No late fee but hits credit at 30 days</v>
      </c>
    </row>
    <row r="298" spans="1:8" ht="28.8" customHeight="1" x14ac:dyDescent="0.3">
      <c r="A298" s="20" t="str">
        <f>IF('Bill Master List'!F15="Yes",'Bill Master List'!A15,"")</f>
        <v>NTTA</v>
      </c>
      <c r="B298" s="17">
        <f>IF('Bill Master List'!F15="Yes",'Bill Master List'!B15,"")</f>
        <v>600</v>
      </c>
      <c r="C298" s="20">
        <f>IF('Bill Master List'!F15="Yes",'Bill Master List'!C15,"")</f>
        <v>15</v>
      </c>
      <c r="D298" s="20" t="str">
        <f>IF('Bill Master List'!F15="Yes",'Bill Master List'!D15,"")</f>
        <v>Card5</v>
      </c>
      <c r="E298" s="64" t="str">
        <f>IF('Bill Master List'!F15="Yes",'Bill Master List'!E15,"")</f>
        <v>Auto</v>
      </c>
      <c r="F298" s="17">
        <f>IF('Bill Master List'!F15="Yes",'Bill Master List'!G15,"")</f>
        <v>25</v>
      </c>
      <c r="G298" s="64">
        <f>IF('Bill Master List'!F15="Yes",'Bill Master List'!H15,"")</f>
        <v>30</v>
      </c>
      <c r="H298" s="19" t="str">
        <f>IF('Bill Master List'!F15="Yes",'Bill Master List'!I15,"")</f>
        <v>Can block vehicle registration. TxTag balance required.</v>
      </c>
    </row>
    <row r="299" spans="1:8" x14ac:dyDescent="0.3">
      <c r="A299" s="20" t="str">
        <f>IF('Bill Master List'!F16="Yes",'Bill Master List'!A16,"")</f>
        <v/>
      </c>
      <c r="B299" s="17" t="str">
        <f>IF('Bill Master List'!F16="Yes",'Bill Master List'!B16,"")</f>
        <v/>
      </c>
      <c r="C299" s="20" t="str">
        <f>IF('Bill Master List'!F16="Yes",'Bill Master List'!C16,"")</f>
        <v/>
      </c>
      <c r="D299" s="20" t="str">
        <f>IF('Bill Master List'!F16="Yes",'Bill Master List'!D16,"")</f>
        <v/>
      </c>
      <c r="E299" s="64" t="str">
        <f>IF('Bill Master List'!F16="Yes",'Bill Master List'!E16,"")</f>
        <v/>
      </c>
      <c r="F299" s="17" t="str">
        <f>IF('Bill Master List'!F16="Yes",'Bill Master List'!G16,"")</f>
        <v/>
      </c>
      <c r="G299" s="64" t="str">
        <f>IF('Bill Master List'!F16="Yes",'Bill Master List'!H16,"")</f>
        <v/>
      </c>
      <c r="H299" s="19" t="str">
        <f>IF('Bill Master List'!F16="Yes",'Bill Master List'!I16,"")</f>
        <v/>
      </c>
    </row>
    <row r="300" spans="1:8" x14ac:dyDescent="0.3">
      <c r="A300" s="20" t="str">
        <f>IF('Bill Master List'!F17="Yes",'Bill Master List'!A17,"")</f>
        <v/>
      </c>
      <c r="B300" s="17" t="str">
        <f>IF('Bill Master List'!F17="Yes",'Bill Master List'!B17,"")</f>
        <v/>
      </c>
      <c r="C300" s="20" t="str">
        <f>IF('Bill Master List'!F17="Yes",'Bill Master List'!C17,"")</f>
        <v/>
      </c>
      <c r="D300" s="20" t="str">
        <f>IF('Bill Master List'!F17="Yes",'Bill Master List'!D17,"")</f>
        <v/>
      </c>
      <c r="E300" s="64" t="str">
        <f>IF('Bill Master List'!F17="Yes",'Bill Master List'!E17,"")</f>
        <v/>
      </c>
      <c r="F300" s="17" t="str">
        <f>IF('Bill Master List'!F17="Yes",'Bill Master List'!G17,"")</f>
        <v/>
      </c>
      <c r="G300" s="64" t="str">
        <f>IF('Bill Master List'!F17="Yes",'Bill Master List'!H17,"")</f>
        <v/>
      </c>
      <c r="H300" s="19" t="str">
        <f>IF('Bill Master List'!F17="Yes",'Bill Master List'!I17,"")</f>
        <v/>
      </c>
    </row>
    <row r="301" spans="1:8" x14ac:dyDescent="0.3">
      <c r="A301" s="20" t="str">
        <f>IF('Bill Master List'!F18="Yes",'Bill Master List'!A18,"")</f>
        <v/>
      </c>
      <c r="B301" s="17" t="str">
        <f>IF('Bill Master List'!F18="Yes",'Bill Master List'!B18,"")</f>
        <v/>
      </c>
      <c r="C301" s="20" t="str">
        <f>IF('Bill Master List'!F18="Yes",'Bill Master List'!C18,"")</f>
        <v/>
      </c>
      <c r="D301" s="20" t="str">
        <f>IF('Bill Master List'!F18="Yes",'Bill Master List'!D18,"")</f>
        <v/>
      </c>
      <c r="E301" s="64" t="str">
        <f>IF('Bill Master List'!F18="Yes",'Bill Master List'!E18,"")</f>
        <v/>
      </c>
      <c r="F301" s="17" t="str">
        <f>IF('Bill Master List'!F18="Yes",'Bill Master List'!G18,"")</f>
        <v/>
      </c>
      <c r="G301" s="64" t="str">
        <f>IF('Bill Master List'!F18="Yes",'Bill Master List'!H18,"")</f>
        <v/>
      </c>
      <c r="H301" s="19" t="str">
        <f>IF('Bill Master List'!F18="Yes",'Bill Master List'!I18,"")</f>
        <v/>
      </c>
    </row>
    <row r="302" spans="1:8" x14ac:dyDescent="0.3">
      <c r="A302" s="20" t="str">
        <f>IF('Bill Master List'!F19="Yes",'Bill Master List'!A19,"")</f>
        <v/>
      </c>
      <c r="B302" s="17" t="str">
        <f>IF('Bill Master List'!F19="Yes",'Bill Master List'!B19,"")</f>
        <v/>
      </c>
      <c r="C302" s="20" t="str">
        <f>IF('Bill Master List'!F19="Yes",'Bill Master List'!C19,"")</f>
        <v/>
      </c>
      <c r="D302" s="20" t="str">
        <f>IF('Bill Master List'!F19="Yes",'Bill Master List'!D19,"")</f>
        <v/>
      </c>
      <c r="E302" s="64" t="str">
        <f>IF('Bill Master List'!F19="Yes",'Bill Master List'!E19,"")</f>
        <v/>
      </c>
      <c r="F302" s="17" t="str">
        <f>IF('Bill Master List'!F19="Yes",'Bill Master List'!G19,"")</f>
        <v/>
      </c>
      <c r="G302" s="64" t="str">
        <f>IF('Bill Master List'!F19="Yes",'Bill Master List'!H19,"")</f>
        <v/>
      </c>
      <c r="H302" s="19" t="str">
        <f>IF('Bill Master List'!F19="Yes",'Bill Master List'!I19,"")</f>
        <v/>
      </c>
    </row>
    <row r="303" spans="1:8" x14ac:dyDescent="0.3">
      <c r="A303" s="20" t="str">
        <f>IF('Bill Master List'!F20="Yes",'Bill Master List'!A20,"")</f>
        <v/>
      </c>
      <c r="B303" s="17" t="str">
        <f>IF('Bill Master List'!F20="Yes",'Bill Master List'!B20,"")</f>
        <v/>
      </c>
      <c r="C303" s="20" t="str">
        <f>IF('Bill Master List'!F20="Yes",'Bill Master List'!C20,"")</f>
        <v/>
      </c>
      <c r="D303" s="20" t="str">
        <f>IF('Bill Master List'!F20="Yes",'Bill Master List'!D20,"")</f>
        <v/>
      </c>
      <c r="E303" s="64" t="str">
        <f>IF('Bill Master List'!F20="Yes",'Bill Master List'!E20,"")</f>
        <v/>
      </c>
      <c r="F303" s="17" t="str">
        <f>IF('Bill Master List'!F20="Yes",'Bill Master List'!G20,"")</f>
        <v/>
      </c>
      <c r="G303" s="64" t="str">
        <f>IF('Bill Master List'!F20="Yes",'Bill Master List'!H20,"")</f>
        <v/>
      </c>
      <c r="H303" s="19" t="str">
        <f>IF('Bill Master List'!F20="Yes",'Bill Master List'!I20,"")</f>
        <v/>
      </c>
    </row>
    <row r="304" spans="1:8" x14ac:dyDescent="0.3">
      <c r="A304" s="20" t="str">
        <f>IF('Bill Master List'!F21="Yes",'Bill Master List'!A21,"")</f>
        <v/>
      </c>
      <c r="B304" s="17" t="str">
        <f>IF('Bill Master List'!F21="Yes",'Bill Master List'!B21,"")</f>
        <v/>
      </c>
      <c r="C304" s="20" t="str">
        <f>IF('Bill Master List'!F21="Yes",'Bill Master List'!C21,"")</f>
        <v/>
      </c>
      <c r="D304" s="20" t="str">
        <f>IF('Bill Master List'!F21="Yes",'Bill Master List'!D21,"")</f>
        <v/>
      </c>
      <c r="E304" s="64" t="str">
        <f>IF('Bill Master List'!F21="Yes",'Bill Master List'!E21,"")</f>
        <v/>
      </c>
      <c r="F304" s="17" t="str">
        <f>IF('Bill Master List'!F21="Yes",'Bill Master List'!G21,"")</f>
        <v/>
      </c>
      <c r="G304" s="64" t="str">
        <f>IF('Bill Master List'!F21="Yes",'Bill Master List'!H21,"")</f>
        <v/>
      </c>
      <c r="H304" s="19" t="str">
        <f>IF('Bill Master List'!F21="Yes",'Bill Master List'!I21,"")</f>
        <v/>
      </c>
    </row>
    <row r="305" spans="1:8" x14ac:dyDescent="0.3">
      <c r="A305" s="20" t="str">
        <f>IF('Bill Master List'!F22="Yes",'Bill Master List'!A22,"")</f>
        <v/>
      </c>
      <c r="B305" s="17" t="str">
        <f>IF('Bill Master List'!F22="Yes",'Bill Master List'!B22,"")</f>
        <v/>
      </c>
      <c r="C305" s="20" t="str">
        <f>IF('Bill Master List'!F22="Yes",'Bill Master List'!C22,"")</f>
        <v/>
      </c>
      <c r="D305" s="20" t="str">
        <f>IF('Bill Master List'!F22="Yes",'Bill Master List'!D22,"")</f>
        <v/>
      </c>
      <c r="E305" s="64" t="str">
        <f>IF('Bill Master List'!F22="Yes",'Bill Master List'!E22,"")</f>
        <v/>
      </c>
      <c r="F305" s="17" t="str">
        <f>IF('Bill Master List'!F22="Yes",'Bill Master List'!G22,"")</f>
        <v/>
      </c>
      <c r="G305" s="64" t="str">
        <f>IF('Bill Master List'!F22="Yes",'Bill Master List'!H22,"")</f>
        <v/>
      </c>
      <c r="H305" s="19" t="str">
        <f>IF('Bill Master List'!F22="Yes",'Bill Master List'!I22,"")</f>
        <v/>
      </c>
    </row>
    <row r="306" spans="1:8" x14ac:dyDescent="0.3">
      <c r="A306" s="20" t="str">
        <f>IF('Bill Master List'!F23="Yes",'Bill Master List'!A23,"")</f>
        <v/>
      </c>
      <c r="B306" s="17" t="str">
        <f>IF('Bill Master List'!F23="Yes",'Bill Master List'!B23,"")</f>
        <v/>
      </c>
      <c r="C306" s="20" t="str">
        <f>IF('Bill Master List'!F23="Yes",'Bill Master List'!C23,"")</f>
        <v/>
      </c>
      <c r="D306" s="20" t="str">
        <f>IF('Bill Master List'!F23="Yes",'Bill Master List'!D23,"")</f>
        <v/>
      </c>
      <c r="E306" s="64" t="str">
        <f>IF('Bill Master List'!F23="Yes",'Bill Master List'!E23,"")</f>
        <v/>
      </c>
      <c r="F306" s="17" t="str">
        <f>IF('Bill Master List'!F23="Yes",'Bill Master List'!G23,"")</f>
        <v/>
      </c>
      <c r="G306" s="64" t="str">
        <f>IF('Bill Master List'!F23="Yes",'Bill Master List'!H23,"")</f>
        <v/>
      </c>
      <c r="H306" s="19" t="str">
        <f>IF('Bill Master List'!F23="Yes",'Bill Master List'!I23,"")</f>
        <v/>
      </c>
    </row>
    <row r="307" spans="1:8" x14ac:dyDescent="0.3">
      <c r="A307" s="20" t="str">
        <f>IF('Bill Master List'!F24="Yes",'Bill Master List'!A24,"")</f>
        <v/>
      </c>
      <c r="B307" s="17" t="str">
        <f>IF('Bill Master List'!F24="Yes",'Bill Master List'!B24,"")</f>
        <v/>
      </c>
      <c r="C307" s="20" t="str">
        <f>IF('Bill Master List'!F24="Yes",'Bill Master List'!C24,"")</f>
        <v/>
      </c>
      <c r="D307" s="20" t="str">
        <f>IF('Bill Master List'!F24="Yes",'Bill Master List'!D24,"")</f>
        <v/>
      </c>
      <c r="E307" s="64" t="str">
        <f>IF('Bill Master List'!F24="Yes",'Bill Master List'!E24,"")</f>
        <v/>
      </c>
      <c r="F307" s="17" t="str">
        <f>IF('Bill Master List'!F24="Yes",'Bill Master List'!G24,"")</f>
        <v/>
      </c>
      <c r="G307" s="64" t="str">
        <f>IF('Bill Master List'!F24="Yes",'Bill Master List'!H24,"")</f>
        <v/>
      </c>
      <c r="H307" s="19" t="str">
        <f>IF('Bill Master List'!F24="Yes",'Bill Master List'!I24,"")</f>
        <v/>
      </c>
    </row>
    <row r="308" spans="1:8" x14ac:dyDescent="0.3">
      <c r="A308" s="20" t="str">
        <f>IF('Bill Master List'!F25="Yes",'Bill Master List'!A25,"")</f>
        <v/>
      </c>
      <c r="B308" s="17" t="str">
        <f>IF('Bill Master List'!F25="Yes",'Bill Master List'!B25,"")</f>
        <v/>
      </c>
      <c r="C308" s="20" t="str">
        <f>IF('Bill Master List'!F25="Yes",'Bill Master List'!C25,"")</f>
        <v/>
      </c>
      <c r="D308" s="20" t="str">
        <f>IF('Bill Master List'!F25="Yes",'Bill Master List'!D25,"")</f>
        <v/>
      </c>
      <c r="E308" s="64" t="str">
        <f>IF('Bill Master List'!F25="Yes",'Bill Master List'!E25,"")</f>
        <v/>
      </c>
      <c r="F308" s="17" t="str">
        <f>IF('Bill Master List'!F25="Yes",'Bill Master List'!G25,"")</f>
        <v/>
      </c>
      <c r="G308" s="64" t="str">
        <f>IF('Bill Master List'!F25="Yes",'Bill Master List'!H25,"")</f>
        <v/>
      </c>
      <c r="H308" s="19" t="str">
        <f>IF('Bill Master List'!F25="Yes",'Bill Master List'!I25,"")</f>
        <v/>
      </c>
    </row>
    <row r="309" spans="1:8" x14ac:dyDescent="0.3">
      <c r="A309" s="20" t="str">
        <f>IF('Bill Master List'!F26="Yes",'Bill Master List'!A26,"")</f>
        <v/>
      </c>
      <c r="B309" s="17" t="str">
        <f>IF('Bill Master List'!F26="Yes",'Bill Master List'!B26,"")</f>
        <v/>
      </c>
      <c r="C309" s="20" t="str">
        <f>IF('Bill Master List'!F26="Yes",'Bill Master List'!C26,"")</f>
        <v/>
      </c>
      <c r="D309" s="20" t="str">
        <f>IF('Bill Master List'!F26="Yes",'Bill Master List'!D26,"")</f>
        <v/>
      </c>
      <c r="E309" s="64" t="str">
        <f>IF('Bill Master List'!F26="Yes",'Bill Master List'!E26,"")</f>
        <v/>
      </c>
      <c r="F309" s="17" t="str">
        <f>IF('Bill Master List'!F26="Yes",'Bill Master List'!G26,"")</f>
        <v/>
      </c>
      <c r="G309" s="64" t="str">
        <f>IF('Bill Master List'!F26="Yes",'Bill Master List'!H26,"")</f>
        <v/>
      </c>
      <c r="H309" s="19" t="str">
        <f>IF('Bill Master List'!F26="Yes",'Bill Master List'!I26,"")</f>
        <v/>
      </c>
    </row>
    <row r="310" spans="1:8" x14ac:dyDescent="0.3">
      <c r="A310" s="20" t="str">
        <f>IF('Bill Master List'!F27="Yes",'Bill Master List'!A27,"")</f>
        <v/>
      </c>
      <c r="B310" s="17" t="str">
        <f>IF('Bill Master List'!F27="Yes",'Bill Master List'!B27,"")</f>
        <v/>
      </c>
      <c r="C310" s="20" t="str">
        <f>IF('Bill Master List'!F27="Yes",'Bill Master List'!C27,"")</f>
        <v/>
      </c>
      <c r="D310" s="20" t="str">
        <f>IF('Bill Master List'!F27="Yes",'Bill Master List'!D27,"")</f>
        <v/>
      </c>
      <c r="E310" s="64" t="str">
        <f>IF('Bill Master List'!F27="Yes",'Bill Master List'!E27,"")</f>
        <v/>
      </c>
      <c r="F310" s="17" t="str">
        <f>IF('Bill Master List'!F27="Yes",'Bill Master List'!G27,"")</f>
        <v/>
      </c>
      <c r="G310" s="64" t="str">
        <f>IF('Bill Master List'!F27="Yes",'Bill Master List'!H27,"")</f>
        <v/>
      </c>
      <c r="H310" s="19" t="str">
        <f>IF('Bill Master List'!F27="Yes",'Bill Master List'!I27,"")</f>
        <v/>
      </c>
    </row>
    <row r="311" spans="1:8" x14ac:dyDescent="0.3">
      <c r="A311" s="20" t="str">
        <f>IF('Bill Master List'!F28="Yes",'Bill Master List'!A28,"")</f>
        <v/>
      </c>
      <c r="B311" s="17" t="str">
        <f>IF('Bill Master List'!F28="Yes",'Bill Master List'!B28,"")</f>
        <v/>
      </c>
      <c r="C311" s="20" t="str">
        <f>IF('Bill Master List'!F28="Yes",'Bill Master List'!C28,"")</f>
        <v/>
      </c>
      <c r="D311" s="20" t="str">
        <f>IF('Bill Master List'!F28="Yes",'Bill Master List'!D28,"")</f>
        <v/>
      </c>
      <c r="E311" s="64" t="str">
        <f>IF('Bill Master List'!F28="Yes",'Bill Master List'!E28,"")</f>
        <v/>
      </c>
      <c r="F311" s="17" t="str">
        <f>IF('Bill Master List'!F28="Yes",'Bill Master List'!G28,"")</f>
        <v/>
      </c>
      <c r="G311" s="64" t="str">
        <f>IF('Bill Master List'!F28="Yes",'Bill Master List'!H28,"")</f>
        <v/>
      </c>
      <c r="H311" s="19" t="str">
        <f>IF('Bill Master List'!F28="Yes",'Bill Master List'!I28,"")</f>
        <v/>
      </c>
    </row>
    <row r="312" spans="1:8" x14ac:dyDescent="0.3">
      <c r="A312" s="20" t="str">
        <f>IF('Bill Master List'!F29="Yes",'Bill Master List'!A29,"")</f>
        <v/>
      </c>
      <c r="B312" s="17" t="str">
        <f>IF('Bill Master List'!F29="Yes",'Bill Master List'!B29,"")</f>
        <v/>
      </c>
      <c r="C312" s="20" t="str">
        <f>IF('Bill Master List'!F29="Yes",'Bill Master List'!C29,"")</f>
        <v/>
      </c>
      <c r="D312" s="20" t="str">
        <f>IF('Bill Master List'!F29="Yes",'Bill Master List'!D29,"")</f>
        <v/>
      </c>
      <c r="E312" s="64" t="str">
        <f>IF('Bill Master List'!F29="Yes",'Bill Master List'!E29,"")</f>
        <v/>
      </c>
      <c r="F312" s="17" t="str">
        <f>IF('Bill Master List'!F29="Yes",'Bill Master List'!G29,"")</f>
        <v/>
      </c>
      <c r="G312" s="64" t="str">
        <f>IF('Bill Master List'!F29="Yes",'Bill Master List'!H29,"")</f>
        <v/>
      </c>
      <c r="H312" s="19" t="str">
        <f>IF('Bill Master List'!F29="Yes",'Bill Master List'!I29,"")</f>
        <v/>
      </c>
    </row>
    <row r="313" spans="1:8" x14ac:dyDescent="0.3">
      <c r="A313" s="20" t="str">
        <f>IF('Bill Master List'!F30="Yes",'Bill Master List'!A30,"")</f>
        <v/>
      </c>
      <c r="B313" s="17" t="str">
        <f>IF('Bill Master List'!F30="Yes",'Bill Master List'!B30,"")</f>
        <v/>
      </c>
      <c r="C313" s="20" t="str">
        <f>IF('Bill Master List'!F30="Yes",'Bill Master List'!C30,"")</f>
        <v/>
      </c>
      <c r="D313" s="20" t="str">
        <f>IF('Bill Master List'!F30="Yes",'Bill Master List'!D30,"")</f>
        <v/>
      </c>
      <c r="E313" s="64" t="str">
        <f>IF('Bill Master List'!F30="Yes",'Bill Master List'!E30,"")</f>
        <v/>
      </c>
      <c r="F313" s="17" t="str">
        <f>IF('Bill Master List'!F30="Yes",'Bill Master List'!G30,"")</f>
        <v/>
      </c>
      <c r="G313" s="64" t="str">
        <f>IF('Bill Master List'!F30="Yes",'Bill Master List'!H30,"")</f>
        <v/>
      </c>
      <c r="H313" s="19" t="str">
        <f>IF('Bill Master List'!F30="Yes",'Bill Master List'!I30,"")</f>
        <v/>
      </c>
    </row>
    <row r="314" spans="1:8" x14ac:dyDescent="0.3">
      <c r="A314" s="20" t="str">
        <f>IF('Bill Master List'!F31="Yes",'Bill Master List'!A31,"")</f>
        <v/>
      </c>
      <c r="B314" s="17" t="str">
        <f>IF('Bill Master List'!F31="Yes",'Bill Master List'!B31,"")</f>
        <v/>
      </c>
      <c r="C314" s="20" t="str">
        <f>IF('Bill Master List'!F31="Yes",'Bill Master List'!C31,"")</f>
        <v/>
      </c>
      <c r="D314" s="20" t="str">
        <f>IF('Bill Master List'!F31="Yes",'Bill Master List'!D31,"")</f>
        <v/>
      </c>
      <c r="E314" s="64" t="str">
        <f>IF('Bill Master List'!F31="Yes",'Bill Master List'!E31,"")</f>
        <v/>
      </c>
      <c r="F314" s="17" t="str">
        <f>IF('Bill Master List'!F31="Yes",'Bill Master List'!G31,"")</f>
        <v/>
      </c>
      <c r="G314" s="64" t="str">
        <f>IF('Bill Master List'!F31="Yes",'Bill Master List'!H31,"")</f>
        <v/>
      </c>
      <c r="H314" s="19" t="str">
        <f>IF('Bill Master List'!F31="Yes",'Bill Master List'!I31,"")</f>
        <v/>
      </c>
    </row>
    <row r="315" spans="1:8" x14ac:dyDescent="0.3">
      <c r="A315" s="20" t="str">
        <f>IF('Bill Master List'!F32="Yes",'Bill Master List'!A32,"")</f>
        <v/>
      </c>
      <c r="B315" s="17" t="str">
        <f>IF('Bill Master List'!F32="Yes",'Bill Master List'!B32,"")</f>
        <v/>
      </c>
      <c r="C315" s="20" t="str">
        <f>IF('Bill Master List'!F32="Yes",'Bill Master List'!C32,"")</f>
        <v/>
      </c>
      <c r="D315" s="20" t="str">
        <f>IF('Bill Master List'!F32="Yes",'Bill Master List'!D32,"")</f>
        <v/>
      </c>
      <c r="E315" s="64" t="str">
        <f>IF('Bill Master List'!F32="Yes",'Bill Master List'!E32,"")</f>
        <v/>
      </c>
      <c r="F315" s="17" t="str">
        <f>IF('Bill Master List'!F32="Yes",'Bill Master List'!G32,"")</f>
        <v/>
      </c>
      <c r="G315" s="64" t="str">
        <f>IF('Bill Master List'!F32="Yes",'Bill Master List'!H32,"")</f>
        <v/>
      </c>
      <c r="H315" s="19" t="str">
        <f>IF('Bill Master List'!F32="Yes",'Bill Master List'!I32,"")</f>
        <v/>
      </c>
    </row>
    <row r="316" spans="1:8" x14ac:dyDescent="0.3">
      <c r="A316" s="22" t="s">
        <v>172</v>
      </c>
      <c r="B316" s="23" t="s">
        <v>173</v>
      </c>
      <c r="C316" s="23" t="s">
        <v>174</v>
      </c>
      <c r="D316" s="23" t="s">
        <v>175</v>
      </c>
      <c r="E316" s="68" t="s">
        <v>176</v>
      </c>
      <c r="F316" s="23" t="s">
        <v>177</v>
      </c>
      <c r="G316" s="65" t="s">
        <v>178</v>
      </c>
      <c r="H316" s="24" t="s">
        <v>179</v>
      </c>
    </row>
    <row r="317" spans="1:8" x14ac:dyDescent="0.3">
      <c r="B317" s="25">
        <f>SUMIF(D286:D315,"Card1",B286:B315)</f>
        <v>587</v>
      </c>
      <c r="C317" s="25">
        <f>SUMIF(D286:D315,"Card2",B286:B315)</f>
        <v>398</v>
      </c>
      <c r="D317" s="25">
        <f>SUMIF(D286:D315,"Card3",B286:B315)</f>
        <v>1265</v>
      </c>
      <c r="E317" s="69">
        <f>SUMIF(D286:D315,"Card4",B286:B315)</f>
        <v>200</v>
      </c>
      <c r="F317" s="25">
        <f>SUMIF(D286:D315,"Card5",B286:B315)</f>
        <v>630</v>
      </c>
      <c r="G317" s="66">
        <f>SUM(B286:B315)</f>
        <v>3080</v>
      </c>
      <c r="H317" s="26">
        <f>SUM(F286:F315)</f>
        <v>249</v>
      </c>
    </row>
    <row r="319" spans="1:8" ht="15.6" customHeight="1" x14ac:dyDescent="0.3">
      <c r="A319" s="98" t="s">
        <v>188</v>
      </c>
      <c r="B319" s="86"/>
      <c r="C319" s="86"/>
      <c r="D319" s="86"/>
      <c r="E319" s="97"/>
      <c r="F319" s="86"/>
      <c r="G319" s="97"/>
      <c r="H319" s="86"/>
    </row>
    <row r="320" spans="1:8" x14ac:dyDescent="0.3">
      <c r="A320" s="21" t="s">
        <v>130</v>
      </c>
      <c r="B320" s="21" t="s">
        <v>131</v>
      </c>
      <c r="C320" s="21" t="s">
        <v>96</v>
      </c>
      <c r="D320" s="21" t="s">
        <v>170</v>
      </c>
      <c r="E320" s="63" t="s">
        <v>133</v>
      </c>
      <c r="F320" s="21" t="s">
        <v>134</v>
      </c>
      <c r="G320" s="63" t="s">
        <v>171</v>
      </c>
      <c r="H320" s="21" t="s">
        <v>136</v>
      </c>
    </row>
    <row r="321" spans="1:8" x14ac:dyDescent="0.3">
      <c r="A321" s="20" t="str">
        <f>IF('Bill Master List'!F3="Yes",'Bill Master List'!A3,"")</f>
        <v>Storage 1</v>
      </c>
      <c r="B321" s="17">
        <f>IF('Bill Master List'!F3="Yes",'Bill Master List'!B3,"")</f>
        <v>478</v>
      </c>
      <c r="C321" s="20">
        <f>IF('Bill Master List'!F3="Yes",'Bill Master List'!C3,"")</f>
        <v>1</v>
      </c>
      <c r="D321" s="20" t="str">
        <f>IF('Bill Master List'!F3="Yes",'Bill Master List'!D3,"")</f>
        <v>Card1</v>
      </c>
      <c r="E321" s="64" t="str">
        <f>IF('Bill Master List'!F3="Yes",'Bill Master List'!E3,"")</f>
        <v>Housing</v>
      </c>
      <c r="F321" s="17">
        <f>IF('Bill Master List'!F3="Yes",'Bill Master List'!G3,"")</f>
        <v>40</v>
      </c>
      <c r="G321" s="64">
        <f>IF('Bill Master List'!F3="Yes",'Bill Master List'!H3,"")</f>
        <v>5</v>
      </c>
      <c r="H321" s="19" t="str">
        <f>IF('Bill Master List'!F3="Yes",'Bill Master List'!I3,"")</f>
        <v>Lien risk after 30 days late</v>
      </c>
    </row>
    <row r="322" spans="1:8" x14ac:dyDescent="0.3">
      <c r="A322" s="20" t="str">
        <f>IF('Bill Master List'!F4="Yes",'Bill Master List'!A4,"")</f>
        <v>Storage 2</v>
      </c>
      <c r="B322" s="17">
        <f>IF('Bill Master List'!F4="Yes",'Bill Master List'!B4,"")</f>
        <v>109</v>
      </c>
      <c r="C322" s="20">
        <f>IF('Bill Master List'!F4="Yes",'Bill Master List'!C4,"")</f>
        <v>1</v>
      </c>
      <c r="D322" s="20" t="str">
        <f>IF('Bill Master List'!F4="Yes",'Bill Master List'!D4,"")</f>
        <v>Card1</v>
      </c>
      <c r="E322" s="64" t="str">
        <f>IF('Bill Master List'!F4="Yes",'Bill Master List'!E4,"")</f>
        <v>Housing</v>
      </c>
      <c r="F322" s="17">
        <f>IF('Bill Master List'!F4="Yes",'Bill Master List'!G4,"")</f>
        <v>25</v>
      </c>
      <c r="G322" s="64">
        <f>IF('Bill Master List'!F4="Yes",'Bill Master List'!H4,"")</f>
        <v>5</v>
      </c>
      <c r="H322" s="19" t="str">
        <f>IF('Bill Master List'!F4="Yes",'Bill Master List'!I4,"")</f>
        <v>Lien risk after 30 days late</v>
      </c>
    </row>
    <row r="323" spans="1:8" x14ac:dyDescent="0.3">
      <c r="A323" s="20" t="str">
        <f>IF('Bill Master List'!F5="Yes",'Bill Master List'!A5,"")</f>
        <v>Storage 3</v>
      </c>
      <c r="B323" s="17">
        <f>IF('Bill Master List'!F5="Yes",'Bill Master List'!B5,"")</f>
        <v>180</v>
      </c>
      <c r="C323" s="20">
        <f>IF('Bill Master List'!F5="Yes",'Bill Master List'!C5,"")</f>
        <v>1</v>
      </c>
      <c r="D323" s="20" t="str">
        <f>IF('Bill Master List'!F5="Yes",'Bill Master List'!D5,"")</f>
        <v>Card2</v>
      </c>
      <c r="E323" s="64" t="str">
        <f>IF('Bill Master List'!F5="Yes",'Bill Master List'!E5,"")</f>
        <v>Housing</v>
      </c>
      <c r="F323" s="17">
        <f>IF('Bill Master List'!F5="Yes",'Bill Master List'!G5,"")</f>
        <v>25</v>
      </c>
      <c r="G323" s="64">
        <f>IF('Bill Master List'!F5="Yes",'Bill Master List'!H5,"")</f>
        <v>5</v>
      </c>
      <c r="H323" s="19" t="str">
        <f>IF('Bill Master List'!F5="Yes",'Bill Master List'!I5,"")</f>
        <v>Lien risk after 30 days late</v>
      </c>
    </row>
    <row r="324" spans="1:8" x14ac:dyDescent="0.3">
      <c r="A324" s="20" t="str">
        <f>IF('Bill Master List'!F6="Yes",'Bill Master List'!A6,"")</f>
        <v>Storage 4</v>
      </c>
      <c r="B324" s="17">
        <f>IF('Bill Master List'!F6="Yes",'Bill Master List'!B6,"")</f>
        <v>98</v>
      </c>
      <c r="C324" s="20">
        <f>IF('Bill Master List'!F6="Yes",'Bill Master List'!C6,"")</f>
        <v>1</v>
      </c>
      <c r="D324" s="20" t="str">
        <f>IF('Bill Master List'!F6="Yes",'Bill Master List'!D6,"")</f>
        <v>Card2</v>
      </c>
      <c r="E324" s="64" t="str">
        <f>IF('Bill Master List'!F6="Yes",'Bill Master List'!E6,"")</f>
        <v>Housing</v>
      </c>
      <c r="F324" s="17">
        <f>IF('Bill Master List'!F6="Yes",'Bill Master List'!G6,"")</f>
        <v>20</v>
      </c>
      <c r="G324" s="64">
        <f>IF('Bill Master List'!F6="Yes",'Bill Master List'!H6,"")</f>
        <v>5</v>
      </c>
      <c r="H324" s="19" t="str">
        <f>IF('Bill Master List'!F6="Yes",'Bill Master List'!I6,"")</f>
        <v>Lien risk after 30 days late</v>
      </c>
    </row>
    <row r="325" spans="1:8" x14ac:dyDescent="0.3">
      <c r="A325" s="20" t="str">
        <f>IF('Bill Master List'!F7="Yes",'Bill Master List'!A7,"")</f>
        <v>Intuit</v>
      </c>
      <c r="B325" s="17">
        <f>IF('Bill Master List'!F7="Yes",'Bill Master List'!B7,"")</f>
        <v>75</v>
      </c>
      <c r="C325" s="20">
        <f>IF('Bill Master List'!F7="Yes",'Bill Master List'!C7,"")</f>
        <v>20</v>
      </c>
      <c r="D325" s="20" t="str">
        <f>IF('Bill Master List'!F7="Yes",'Bill Master List'!D7,"")</f>
        <v>Card2</v>
      </c>
      <c r="E325" s="64" t="str">
        <f>IF('Bill Master List'!F7="Yes",'Bill Master List'!E7,"")</f>
        <v>Utilities</v>
      </c>
      <c r="F325" s="17">
        <f>IF('Bill Master List'!F7="Yes",'Bill Master List'!G7,"")</f>
        <v>0</v>
      </c>
      <c r="G325" s="64">
        <f>IF('Bill Master List'!F7="Yes",'Bill Master List'!H7,"")</f>
        <v>0</v>
      </c>
      <c r="H325" s="19" t="str">
        <f>IF('Bill Master List'!F7="Yes",'Bill Master List'!I7,"")</f>
        <v>Service suspended if unpaid</v>
      </c>
    </row>
    <row r="326" spans="1:8" x14ac:dyDescent="0.3">
      <c r="A326" s="20" t="str">
        <f>IF('Bill Master List'!F8="Yes",'Bill Master List'!A8,"")</f>
        <v>Cell Phone</v>
      </c>
      <c r="B326" s="17">
        <f>IF('Bill Master List'!F8="Yes",'Bill Master List'!B8,"")</f>
        <v>80</v>
      </c>
      <c r="C326" s="20">
        <f>IF('Bill Master List'!F8="Yes",'Bill Master List'!C8,"")</f>
        <v>5</v>
      </c>
      <c r="D326" s="20" t="str">
        <f>IF('Bill Master List'!F8="Yes",'Bill Master List'!D8,"")</f>
        <v>Card3</v>
      </c>
      <c r="E326" s="64" t="str">
        <f>IF('Bill Master List'!F8="Yes",'Bill Master List'!E8,"")</f>
        <v>Phone</v>
      </c>
      <c r="F326" s="17">
        <f>IF('Bill Master List'!F8="Yes",'Bill Master List'!G8,"")</f>
        <v>25</v>
      </c>
      <c r="G326" s="64">
        <f>IF('Bill Master List'!F8="Yes",'Bill Master List'!H8,"")</f>
        <v>0</v>
      </c>
      <c r="H326" s="19" t="str">
        <f>IF('Bill Master List'!F8="Yes",'Bill Master List'!I8,"")</f>
        <v>Service disconnected after 30 days</v>
      </c>
    </row>
    <row r="327" spans="1:8" ht="28.8" customHeight="1" x14ac:dyDescent="0.3">
      <c r="A327" s="20" t="str">
        <f>IF('Bill Master List'!F9="Yes",'Bill Master List'!A9,"")</f>
        <v>Car Payment</v>
      </c>
      <c r="B327" s="17">
        <f>IF('Bill Master List'!F9="Yes",'Bill Master List'!B9,"")</f>
        <v>785</v>
      </c>
      <c r="C327" s="20">
        <f>IF('Bill Master List'!F9="Yes",'Bill Master List'!C9,"")</f>
        <v>24</v>
      </c>
      <c r="D327" s="20" t="str">
        <f>IF('Bill Master List'!F9="Yes",'Bill Master List'!D9,"")</f>
        <v>Card3</v>
      </c>
      <c r="E327" s="64" t="str">
        <f>IF('Bill Master List'!F9="Yes",'Bill Master List'!E9,"")</f>
        <v>Auto</v>
      </c>
      <c r="F327" s="17">
        <f>IF('Bill Master List'!F9="Yes",'Bill Master List'!G9,"")</f>
        <v>39</v>
      </c>
      <c r="G327" s="64">
        <f>IF('Bill Master List'!F9="Yes",'Bill Master List'!H9,"")</f>
        <v>10</v>
      </c>
      <c r="H327" s="19" t="str">
        <f>IF('Bill Master List'!F9="Yes",'Bill Master List'!I9,"")</f>
        <v>Repo risk after 60+ days. Hits credit report at 30 days.</v>
      </c>
    </row>
    <row r="328" spans="1:8" x14ac:dyDescent="0.3">
      <c r="A328" s="20" t="str">
        <f>IF('Bill Master List'!F10="Yes",'Bill Master List'!A10,"")</f>
        <v>Car Insurance</v>
      </c>
      <c r="B328" s="17">
        <f>IF('Bill Master List'!F10="Yes",'Bill Master List'!B10,"")</f>
        <v>0</v>
      </c>
      <c r="C328" s="20">
        <f>IF('Bill Master List'!F10="Yes",'Bill Master List'!C10,"")</f>
        <v>10</v>
      </c>
      <c r="D328" s="20" t="str">
        <f>IF('Bill Master List'!F10="Yes",'Bill Master List'!D10,"")</f>
        <v>Card1</v>
      </c>
      <c r="E328" s="64" t="str">
        <f>IF('Bill Master List'!F10="Yes",'Bill Master List'!E10,"")</f>
        <v>Auto</v>
      </c>
      <c r="F328" s="17">
        <f>IF('Bill Master List'!F10="Yes",'Bill Master List'!G10,"")</f>
        <v>25</v>
      </c>
      <c r="G328" s="64">
        <f>IF('Bill Master List'!F10="Yes",'Bill Master List'!H10,"")</f>
        <v>10</v>
      </c>
      <c r="H328" s="19" t="str">
        <f>IF('Bill Master List'!F10="Yes",'Bill Master List'!I10,"")</f>
        <v>Policy cancellation after lapse</v>
      </c>
    </row>
    <row r="329" spans="1:8" x14ac:dyDescent="0.3">
      <c r="A329" s="20" t="str">
        <f>IF('Bill Master List'!F11="Yes",'Bill Master List'!A11,"")</f>
        <v>Gas/Fuel</v>
      </c>
      <c r="B329" s="17">
        <f>IF('Bill Master List'!F11="Yes",'Bill Master List'!B11,"")</f>
        <v>200</v>
      </c>
      <c r="C329" s="20">
        <f>IF('Bill Master List'!F11="Yes",'Bill Master List'!C11,"")</f>
        <v>15</v>
      </c>
      <c r="D329" s="20" t="str">
        <f>IF('Bill Master List'!F11="Yes",'Bill Master List'!D11,"")</f>
        <v>Card4</v>
      </c>
      <c r="E329" s="64" t="str">
        <f>IF('Bill Master List'!F11="Yes",'Bill Master List'!E11,"")</f>
        <v>Auto</v>
      </c>
      <c r="F329" s="17">
        <f>IF('Bill Master List'!F11="Yes",'Bill Master List'!G11,"")</f>
        <v>0</v>
      </c>
      <c r="G329" s="64">
        <f>IF('Bill Master List'!F11="Yes",'Bill Master List'!H11,"")</f>
        <v>0</v>
      </c>
      <c r="H329" s="19" t="str">
        <f>IF('Bill Master List'!F11="Yes",'Bill Master List'!I11,"")</f>
        <v>Variable expense - no late fee</v>
      </c>
    </row>
    <row r="330" spans="1:8" x14ac:dyDescent="0.3">
      <c r="A330" s="20" t="str">
        <f>IF('Bill Master List'!F12="Yes",'Bill Master List'!A12,"")</f>
        <v>Groceries</v>
      </c>
      <c r="B330" s="17">
        <f>IF('Bill Master List'!F12="Yes",'Bill Master List'!B12,"")</f>
        <v>400</v>
      </c>
      <c r="C330" s="20">
        <f>IF('Bill Master List'!F12="Yes",'Bill Master List'!C12,"")</f>
        <v>1</v>
      </c>
      <c r="D330" s="20" t="str">
        <f>IF('Bill Master List'!F12="Yes",'Bill Master List'!D12,"")</f>
        <v>Card3</v>
      </c>
      <c r="E330" s="64" t="str">
        <f>IF('Bill Master List'!F12="Yes",'Bill Master List'!E12,"")</f>
        <v>Health</v>
      </c>
      <c r="F330" s="17">
        <f>IF('Bill Master List'!F12="Yes",'Bill Master List'!G12,"")</f>
        <v>0</v>
      </c>
      <c r="G330" s="64">
        <f>IF('Bill Master List'!F12="Yes",'Bill Master List'!H12,"")</f>
        <v>0</v>
      </c>
      <c r="H330" s="19" t="str">
        <f>IF('Bill Master List'!F12="Yes",'Bill Master List'!I12,"")</f>
        <v>Variable expense - no late fee</v>
      </c>
    </row>
    <row r="331" spans="1:8" x14ac:dyDescent="0.3">
      <c r="A331" s="20" t="str">
        <f>IF('Bill Master List'!F13="Yes",'Bill Master List'!A13,"")</f>
        <v>Klarna</v>
      </c>
      <c r="B331" s="17">
        <f>IF('Bill Master List'!F13="Yes",'Bill Master List'!B13,"")</f>
        <v>45</v>
      </c>
      <c r="C331" s="20">
        <f>IF('Bill Master List'!F13="Yes",'Bill Master List'!C13,"")</f>
        <v>15</v>
      </c>
      <c r="D331" s="20" t="str">
        <f>IF('Bill Master List'!F13="Yes",'Bill Master List'!D13,"")</f>
        <v>Card2</v>
      </c>
      <c r="E331" s="64" t="str">
        <f>IF('Bill Master List'!F13="Yes",'Bill Master List'!E13,"")</f>
        <v>Entertainment</v>
      </c>
      <c r="F331" s="17">
        <f>IF('Bill Master List'!F13="Yes",'Bill Master List'!G13,"")</f>
        <v>25</v>
      </c>
      <c r="G331" s="64">
        <f>IF('Bill Master List'!F13="Yes",'Bill Master List'!H13,"")</f>
        <v>0</v>
      </c>
      <c r="H331" s="19" t="str">
        <f>IF('Bill Master List'!F13="Yes",'Bill Master List'!I13,"")</f>
        <v>Hits credit after 30 days late</v>
      </c>
    </row>
    <row r="332" spans="1:8" x14ac:dyDescent="0.3">
      <c r="A332" s="20" t="str">
        <f>IF('Bill Master List'!F14="Yes",'Bill Master List'!A14,"")</f>
        <v>Affirm</v>
      </c>
      <c r="B332" s="17">
        <f>IF('Bill Master List'!F14="Yes",'Bill Master List'!B14,"")</f>
        <v>30</v>
      </c>
      <c r="C332" s="20">
        <f>IF('Bill Master List'!F14="Yes",'Bill Master List'!C14,"")</f>
        <v>20</v>
      </c>
      <c r="D332" s="20" t="str">
        <f>IF('Bill Master List'!F14="Yes",'Bill Master List'!D14,"")</f>
        <v>Card5</v>
      </c>
      <c r="E332" s="64" t="str">
        <f>IF('Bill Master List'!F14="Yes",'Bill Master List'!E14,"")</f>
        <v>Food</v>
      </c>
      <c r="F332" s="17">
        <f>IF('Bill Master List'!F14="Yes",'Bill Master List'!G14,"")</f>
        <v>0</v>
      </c>
      <c r="G332" s="64">
        <f>IF('Bill Master List'!F14="Yes",'Bill Master List'!H14,"")</f>
        <v>0</v>
      </c>
      <c r="H332" s="19" t="str">
        <f>IF('Bill Master List'!F14="Yes",'Bill Master List'!I14,"")</f>
        <v>No late fee but hits credit at 30 days</v>
      </c>
    </row>
    <row r="333" spans="1:8" ht="28.8" customHeight="1" x14ac:dyDescent="0.3">
      <c r="A333" s="20" t="str">
        <f>IF('Bill Master List'!F15="Yes",'Bill Master List'!A15,"")</f>
        <v>NTTA</v>
      </c>
      <c r="B333" s="17">
        <f>IF('Bill Master List'!F15="Yes",'Bill Master List'!B15,"")</f>
        <v>600</v>
      </c>
      <c r="C333" s="20">
        <f>IF('Bill Master List'!F15="Yes",'Bill Master List'!C15,"")</f>
        <v>15</v>
      </c>
      <c r="D333" s="20" t="str">
        <f>IF('Bill Master List'!F15="Yes",'Bill Master List'!D15,"")</f>
        <v>Card5</v>
      </c>
      <c r="E333" s="64" t="str">
        <f>IF('Bill Master List'!F15="Yes",'Bill Master List'!E15,"")</f>
        <v>Auto</v>
      </c>
      <c r="F333" s="17">
        <f>IF('Bill Master List'!F15="Yes",'Bill Master List'!G15,"")</f>
        <v>25</v>
      </c>
      <c r="G333" s="64">
        <f>IF('Bill Master List'!F15="Yes",'Bill Master List'!H15,"")</f>
        <v>30</v>
      </c>
      <c r="H333" s="19" t="str">
        <f>IF('Bill Master List'!F15="Yes",'Bill Master List'!I15,"")</f>
        <v>Can block vehicle registration. TxTag balance required.</v>
      </c>
    </row>
    <row r="334" spans="1:8" x14ac:dyDescent="0.3">
      <c r="A334" s="20" t="str">
        <f>IF('Bill Master List'!F16="Yes",'Bill Master List'!A16,"")</f>
        <v/>
      </c>
      <c r="B334" s="17" t="str">
        <f>IF('Bill Master List'!F16="Yes",'Bill Master List'!B16,"")</f>
        <v/>
      </c>
      <c r="C334" s="20" t="str">
        <f>IF('Bill Master List'!F16="Yes",'Bill Master List'!C16,"")</f>
        <v/>
      </c>
      <c r="D334" s="20" t="str">
        <f>IF('Bill Master List'!F16="Yes",'Bill Master List'!D16,"")</f>
        <v/>
      </c>
      <c r="E334" s="64" t="str">
        <f>IF('Bill Master List'!F16="Yes",'Bill Master List'!E16,"")</f>
        <v/>
      </c>
      <c r="F334" s="17" t="str">
        <f>IF('Bill Master List'!F16="Yes",'Bill Master List'!G16,"")</f>
        <v/>
      </c>
      <c r="G334" s="64" t="str">
        <f>IF('Bill Master List'!F16="Yes",'Bill Master List'!H16,"")</f>
        <v/>
      </c>
      <c r="H334" s="19" t="str">
        <f>IF('Bill Master List'!F16="Yes",'Bill Master List'!I16,"")</f>
        <v/>
      </c>
    </row>
    <row r="335" spans="1:8" x14ac:dyDescent="0.3">
      <c r="A335" s="20" t="str">
        <f>IF('Bill Master List'!F17="Yes",'Bill Master List'!A17,"")</f>
        <v/>
      </c>
      <c r="B335" s="17" t="str">
        <f>IF('Bill Master List'!F17="Yes",'Bill Master List'!B17,"")</f>
        <v/>
      </c>
      <c r="C335" s="20" t="str">
        <f>IF('Bill Master List'!F17="Yes",'Bill Master List'!C17,"")</f>
        <v/>
      </c>
      <c r="D335" s="20" t="str">
        <f>IF('Bill Master List'!F17="Yes",'Bill Master List'!D17,"")</f>
        <v/>
      </c>
      <c r="E335" s="64" t="str">
        <f>IF('Bill Master List'!F17="Yes",'Bill Master List'!E17,"")</f>
        <v/>
      </c>
      <c r="F335" s="17" t="str">
        <f>IF('Bill Master List'!F17="Yes",'Bill Master List'!G17,"")</f>
        <v/>
      </c>
      <c r="G335" s="64" t="str">
        <f>IF('Bill Master List'!F17="Yes",'Bill Master List'!H17,"")</f>
        <v/>
      </c>
      <c r="H335" s="19" t="str">
        <f>IF('Bill Master List'!F17="Yes",'Bill Master List'!I17,"")</f>
        <v/>
      </c>
    </row>
    <row r="336" spans="1:8" x14ac:dyDescent="0.3">
      <c r="A336" s="20" t="str">
        <f>IF('Bill Master List'!F18="Yes",'Bill Master List'!A18,"")</f>
        <v/>
      </c>
      <c r="B336" s="17" t="str">
        <f>IF('Bill Master List'!F18="Yes",'Bill Master List'!B18,"")</f>
        <v/>
      </c>
      <c r="C336" s="20" t="str">
        <f>IF('Bill Master List'!F18="Yes",'Bill Master List'!C18,"")</f>
        <v/>
      </c>
      <c r="D336" s="20" t="str">
        <f>IF('Bill Master List'!F18="Yes",'Bill Master List'!D18,"")</f>
        <v/>
      </c>
      <c r="E336" s="64" t="str">
        <f>IF('Bill Master List'!F18="Yes",'Bill Master List'!E18,"")</f>
        <v/>
      </c>
      <c r="F336" s="17" t="str">
        <f>IF('Bill Master List'!F18="Yes",'Bill Master List'!G18,"")</f>
        <v/>
      </c>
      <c r="G336" s="64" t="str">
        <f>IF('Bill Master List'!F18="Yes",'Bill Master List'!H18,"")</f>
        <v/>
      </c>
      <c r="H336" s="19" t="str">
        <f>IF('Bill Master List'!F18="Yes",'Bill Master List'!I18,"")</f>
        <v/>
      </c>
    </row>
    <row r="337" spans="1:8" x14ac:dyDescent="0.3">
      <c r="A337" s="20" t="str">
        <f>IF('Bill Master List'!F19="Yes",'Bill Master List'!A19,"")</f>
        <v/>
      </c>
      <c r="B337" s="17" t="str">
        <f>IF('Bill Master List'!F19="Yes",'Bill Master List'!B19,"")</f>
        <v/>
      </c>
      <c r="C337" s="20" t="str">
        <f>IF('Bill Master List'!F19="Yes",'Bill Master List'!C19,"")</f>
        <v/>
      </c>
      <c r="D337" s="20" t="str">
        <f>IF('Bill Master List'!F19="Yes",'Bill Master List'!D19,"")</f>
        <v/>
      </c>
      <c r="E337" s="64" t="str">
        <f>IF('Bill Master List'!F19="Yes",'Bill Master List'!E19,"")</f>
        <v/>
      </c>
      <c r="F337" s="17" t="str">
        <f>IF('Bill Master List'!F19="Yes",'Bill Master List'!G19,"")</f>
        <v/>
      </c>
      <c r="G337" s="64" t="str">
        <f>IF('Bill Master List'!F19="Yes",'Bill Master List'!H19,"")</f>
        <v/>
      </c>
      <c r="H337" s="19" t="str">
        <f>IF('Bill Master List'!F19="Yes",'Bill Master List'!I19,"")</f>
        <v/>
      </c>
    </row>
    <row r="338" spans="1:8" x14ac:dyDescent="0.3">
      <c r="A338" s="20" t="str">
        <f>IF('Bill Master List'!F20="Yes",'Bill Master List'!A20,"")</f>
        <v/>
      </c>
      <c r="B338" s="17" t="str">
        <f>IF('Bill Master List'!F20="Yes",'Bill Master List'!B20,"")</f>
        <v/>
      </c>
      <c r="C338" s="20" t="str">
        <f>IF('Bill Master List'!F20="Yes",'Bill Master List'!C20,"")</f>
        <v/>
      </c>
      <c r="D338" s="20" t="str">
        <f>IF('Bill Master List'!F20="Yes",'Bill Master List'!D20,"")</f>
        <v/>
      </c>
      <c r="E338" s="64" t="str">
        <f>IF('Bill Master List'!F20="Yes",'Bill Master List'!E20,"")</f>
        <v/>
      </c>
      <c r="F338" s="17" t="str">
        <f>IF('Bill Master List'!F20="Yes",'Bill Master List'!G20,"")</f>
        <v/>
      </c>
      <c r="G338" s="64" t="str">
        <f>IF('Bill Master List'!F20="Yes",'Bill Master List'!H20,"")</f>
        <v/>
      </c>
      <c r="H338" s="19" t="str">
        <f>IF('Bill Master List'!F20="Yes",'Bill Master List'!I20,"")</f>
        <v/>
      </c>
    </row>
    <row r="339" spans="1:8" x14ac:dyDescent="0.3">
      <c r="A339" s="20" t="str">
        <f>IF('Bill Master List'!F21="Yes",'Bill Master List'!A21,"")</f>
        <v/>
      </c>
      <c r="B339" s="17" t="str">
        <f>IF('Bill Master List'!F21="Yes",'Bill Master List'!B21,"")</f>
        <v/>
      </c>
      <c r="C339" s="20" t="str">
        <f>IF('Bill Master List'!F21="Yes",'Bill Master List'!C21,"")</f>
        <v/>
      </c>
      <c r="D339" s="20" t="str">
        <f>IF('Bill Master List'!F21="Yes",'Bill Master List'!D21,"")</f>
        <v/>
      </c>
      <c r="E339" s="64" t="str">
        <f>IF('Bill Master List'!F21="Yes",'Bill Master List'!E21,"")</f>
        <v/>
      </c>
      <c r="F339" s="17" t="str">
        <f>IF('Bill Master List'!F21="Yes",'Bill Master List'!G21,"")</f>
        <v/>
      </c>
      <c r="G339" s="64" t="str">
        <f>IF('Bill Master List'!F21="Yes",'Bill Master List'!H21,"")</f>
        <v/>
      </c>
      <c r="H339" s="19" t="str">
        <f>IF('Bill Master List'!F21="Yes",'Bill Master List'!I21,"")</f>
        <v/>
      </c>
    </row>
    <row r="340" spans="1:8" x14ac:dyDescent="0.3">
      <c r="A340" s="20" t="str">
        <f>IF('Bill Master List'!F22="Yes",'Bill Master List'!A22,"")</f>
        <v/>
      </c>
      <c r="B340" s="17" t="str">
        <f>IF('Bill Master List'!F22="Yes",'Bill Master List'!B22,"")</f>
        <v/>
      </c>
      <c r="C340" s="20" t="str">
        <f>IF('Bill Master List'!F22="Yes",'Bill Master List'!C22,"")</f>
        <v/>
      </c>
      <c r="D340" s="20" t="str">
        <f>IF('Bill Master List'!F22="Yes",'Bill Master List'!D22,"")</f>
        <v/>
      </c>
      <c r="E340" s="64" t="str">
        <f>IF('Bill Master List'!F22="Yes",'Bill Master List'!E22,"")</f>
        <v/>
      </c>
      <c r="F340" s="17" t="str">
        <f>IF('Bill Master List'!F22="Yes",'Bill Master List'!G22,"")</f>
        <v/>
      </c>
      <c r="G340" s="64" t="str">
        <f>IF('Bill Master List'!F22="Yes",'Bill Master List'!H22,"")</f>
        <v/>
      </c>
      <c r="H340" s="19" t="str">
        <f>IF('Bill Master List'!F22="Yes",'Bill Master List'!I22,"")</f>
        <v/>
      </c>
    </row>
    <row r="341" spans="1:8" x14ac:dyDescent="0.3">
      <c r="A341" s="20" t="str">
        <f>IF('Bill Master List'!F23="Yes",'Bill Master List'!A23,"")</f>
        <v/>
      </c>
      <c r="B341" s="17" t="str">
        <f>IF('Bill Master List'!F23="Yes",'Bill Master List'!B23,"")</f>
        <v/>
      </c>
      <c r="C341" s="20" t="str">
        <f>IF('Bill Master List'!F23="Yes",'Bill Master List'!C23,"")</f>
        <v/>
      </c>
      <c r="D341" s="20" t="str">
        <f>IF('Bill Master List'!F23="Yes",'Bill Master List'!D23,"")</f>
        <v/>
      </c>
      <c r="E341" s="64" t="str">
        <f>IF('Bill Master List'!F23="Yes",'Bill Master List'!E23,"")</f>
        <v/>
      </c>
      <c r="F341" s="17" t="str">
        <f>IF('Bill Master List'!F23="Yes",'Bill Master List'!G23,"")</f>
        <v/>
      </c>
      <c r="G341" s="64" t="str">
        <f>IF('Bill Master List'!F23="Yes",'Bill Master List'!H23,"")</f>
        <v/>
      </c>
      <c r="H341" s="19" t="str">
        <f>IF('Bill Master List'!F23="Yes",'Bill Master List'!I23,"")</f>
        <v/>
      </c>
    </row>
    <row r="342" spans="1:8" x14ac:dyDescent="0.3">
      <c r="A342" s="20" t="str">
        <f>IF('Bill Master List'!F24="Yes",'Bill Master List'!A24,"")</f>
        <v/>
      </c>
      <c r="B342" s="17" t="str">
        <f>IF('Bill Master List'!F24="Yes",'Bill Master List'!B24,"")</f>
        <v/>
      </c>
      <c r="C342" s="20" t="str">
        <f>IF('Bill Master List'!F24="Yes",'Bill Master List'!C24,"")</f>
        <v/>
      </c>
      <c r="D342" s="20" t="str">
        <f>IF('Bill Master List'!F24="Yes",'Bill Master List'!D24,"")</f>
        <v/>
      </c>
      <c r="E342" s="64" t="str">
        <f>IF('Bill Master List'!F24="Yes",'Bill Master List'!E24,"")</f>
        <v/>
      </c>
      <c r="F342" s="17" t="str">
        <f>IF('Bill Master List'!F24="Yes",'Bill Master List'!G24,"")</f>
        <v/>
      </c>
      <c r="G342" s="64" t="str">
        <f>IF('Bill Master List'!F24="Yes",'Bill Master List'!H24,"")</f>
        <v/>
      </c>
      <c r="H342" s="19" t="str">
        <f>IF('Bill Master List'!F24="Yes",'Bill Master List'!I24,"")</f>
        <v/>
      </c>
    </row>
    <row r="343" spans="1:8" x14ac:dyDescent="0.3">
      <c r="A343" s="20" t="str">
        <f>IF('Bill Master List'!F25="Yes",'Bill Master List'!A25,"")</f>
        <v/>
      </c>
      <c r="B343" s="17" t="str">
        <f>IF('Bill Master List'!F25="Yes",'Bill Master List'!B25,"")</f>
        <v/>
      </c>
      <c r="C343" s="20" t="str">
        <f>IF('Bill Master List'!F25="Yes",'Bill Master List'!C25,"")</f>
        <v/>
      </c>
      <c r="D343" s="20" t="str">
        <f>IF('Bill Master List'!F25="Yes",'Bill Master List'!D25,"")</f>
        <v/>
      </c>
      <c r="E343" s="64" t="str">
        <f>IF('Bill Master List'!F25="Yes",'Bill Master List'!E25,"")</f>
        <v/>
      </c>
      <c r="F343" s="17" t="str">
        <f>IF('Bill Master List'!F25="Yes",'Bill Master List'!G25,"")</f>
        <v/>
      </c>
      <c r="G343" s="64" t="str">
        <f>IF('Bill Master List'!F25="Yes",'Bill Master List'!H25,"")</f>
        <v/>
      </c>
      <c r="H343" s="19" t="str">
        <f>IF('Bill Master List'!F25="Yes",'Bill Master List'!I25,"")</f>
        <v/>
      </c>
    </row>
    <row r="344" spans="1:8" x14ac:dyDescent="0.3">
      <c r="A344" s="20" t="str">
        <f>IF('Bill Master List'!F26="Yes",'Bill Master List'!A26,"")</f>
        <v/>
      </c>
      <c r="B344" s="17" t="str">
        <f>IF('Bill Master List'!F26="Yes",'Bill Master List'!B26,"")</f>
        <v/>
      </c>
      <c r="C344" s="20" t="str">
        <f>IF('Bill Master List'!F26="Yes",'Bill Master List'!C26,"")</f>
        <v/>
      </c>
      <c r="D344" s="20" t="str">
        <f>IF('Bill Master List'!F26="Yes",'Bill Master List'!D26,"")</f>
        <v/>
      </c>
      <c r="E344" s="64" t="str">
        <f>IF('Bill Master List'!F26="Yes",'Bill Master List'!E26,"")</f>
        <v/>
      </c>
      <c r="F344" s="17" t="str">
        <f>IF('Bill Master List'!F26="Yes",'Bill Master List'!G26,"")</f>
        <v/>
      </c>
      <c r="G344" s="64" t="str">
        <f>IF('Bill Master List'!F26="Yes",'Bill Master List'!H26,"")</f>
        <v/>
      </c>
      <c r="H344" s="19" t="str">
        <f>IF('Bill Master List'!F26="Yes",'Bill Master List'!I26,"")</f>
        <v/>
      </c>
    </row>
    <row r="345" spans="1:8" x14ac:dyDescent="0.3">
      <c r="A345" s="20" t="str">
        <f>IF('Bill Master List'!F27="Yes",'Bill Master List'!A27,"")</f>
        <v/>
      </c>
      <c r="B345" s="17" t="str">
        <f>IF('Bill Master List'!F27="Yes",'Bill Master List'!B27,"")</f>
        <v/>
      </c>
      <c r="C345" s="20" t="str">
        <f>IF('Bill Master List'!F27="Yes",'Bill Master List'!C27,"")</f>
        <v/>
      </c>
      <c r="D345" s="20" t="str">
        <f>IF('Bill Master List'!F27="Yes",'Bill Master List'!D27,"")</f>
        <v/>
      </c>
      <c r="E345" s="64" t="str">
        <f>IF('Bill Master List'!F27="Yes",'Bill Master List'!E27,"")</f>
        <v/>
      </c>
      <c r="F345" s="17" t="str">
        <f>IF('Bill Master List'!F27="Yes",'Bill Master List'!G27,"")</f>
        <v/>
      </c>
      <c r="G345" s="64" t="str">
        <f>IF('Bill Master List'!F27="Yes",'Bill Master List'!H27,"")</f>
        <v/>
      </c>
      <c r="H345" s="19" t="str">
        <f>IF('Bill Master List'!F27="Yes",'Bill Master List'!I27,"")</f>
        <v/>
      </c>
    </row>
    <row r="346" spans="1:8" x14ac:dyDescent="0.3">
      <c r="A346" s="20" t="str">
        <f>IF('Bill Master List'!F28="Yes",'Bill Master List'!A28,"")</f>
        <v/>
      </c>
      <c r="B346" s="17" t="str">
        <f>IF('Bill Master List'!F28="Yes",'Bill Master List'!B28,"")</f>
        <v/>
      </c>
      <c r="C346" s="20" t="str">
        <f>IF('Bill Master List'!F28="Yes",'Bill Master List'!C28,"")</f>
        <v/>
      </c>
      <c r="D346" s="20" t="str">
        <f>IF('Bill Master List'!F28="Yes",'Bill Master List'!D28,"")</f>
        <v/>
      </c>
      <c r="E346" s="64" t="str">
        <f>IF('Bill Master List'!F28="Yes",'Bill Master List'!E28,"")</f>
        <v/>
      </c>
      <c r="F346" s="17" t="str">
        <f>IF('Bill Master List'!F28="Yes",'Bill Master List'!G28,"")</f>
        <v/>
      </c>
      <c r="G346" s="64" t="str">
        <f>IF('Bill Master List'!F28="Yes",'Bill Master List'!H28,"")</f>
        <v/>
      </c>
      <c r="H346" s="19" t="str">
        <f>IF('Bill Master List'!F28="Yes",'Bill Master List'!I28,"")</f>
        <v/>
      </c>
    </row>
    <row r="347" spans="1:8" x14ac:dyDescent="0.3">
      <c r="A347" s="20" t="str">
        <f>IF('Bill Master List'!F29="Yes",'Bill Master List'!A29,"")</f>
        <v/>
      </c>
      <c r="B347" s="17" t="str">
        <f>IF('Bill Master List'!F29="Yes",'Bill Master List'!B29,"")</f>
        <v/>
      </c>
      <c r="C347" s="20" t="str">
        <f>IF('Bill Master List'!F29="Yes",'Bill Master List'!C29,"")</f>
        <v/>
      </c>
      <c r="D347" s="20" t="str">
        <f>IF('Bill Master List'!F29="Yes",'Bill Master List'!D29,"")</f>
        <v/>
      </c>
      <c r="E347" s="64" t="str">
        <f>IF('Bill Master List'!F29="Yes",'Bill Master List'!E29,"")</f>
        <v/>
      </c>
      <c r="F347" s="17" t="str">
        <f>IF('Bill Master List'!F29="Yes",'Bill Master List'!G29,"")</f>
        <v/>
      </c>
      <c r="G347" s="64" t="str">
        <f>IF('Bill Master List'!F29="Yes",'Bill Master List'!H29,"")</f>
        <v/>
      </c>
      <c r="H347" s="19" t="str">
        <f>IF('Bill Master List'!F29="Yes",'Bill Master List'!I29,"")</f>
        <v/>
      </c>
    </row>
    <row r="348" spans="1:8" x14ac:dyDescent="0.3">
      <c r="A348" s="20" t="str">
        <f>IF('Bill Master List'!F30="Yes",'Bill Master List'!A30,"")</f>
        <v/>
      </c>
      <c r="B348" s="17" t="str">
        <f>IF('Bill Master List'!F30="Yes",'Bill Master List'!B30,"")</f>
        <v/>
      </c>
      <c r="C348" s="20" t="str">
        <f>IF('Bill Master List'!F30="Yes",'Bill Master List'!C30,"")</f>
        <v/>
      </c>
      <c r="D348" s="20" t="str">
        <f>IF('Bill Master List'!F30="Yes",'Bill Master List'!D30,"")</f>
        <v/>
      </c>
      <c r="E348" s="64" t="str">
        <f>IF('Bill Master List'!F30="Yes",'Bill Master List'!E30,"")</f>
        <v/>
      </c>
      <c r="F348" s="17" t="str">
        <f>IF('Bill Master List'!F30="Yes",'Bill Master List'!G30,"")</f>
        <v/>
      </c>
      <c r="G348" s="64" t="str">
        <f>IF('Bill Master List'!F30="Yes",'Bill Master List'!H30,"")</f>
        <v/>
      </c>
      <c r="H348" s="19" t="str">
        <f>IF('Bill Master List'!F30="Yes",'Bill Master List'!I30,"")</f>
        <v/>
      </c>
    </row>
    <row r="349" spans="1:8" x14ac:dyDescent="0.3">
      <c r="A349" s="20" t="str">
        <f>IF('Bill Master List'!F31="Yes",'Bill Master List'!A31,"")</f>
        <v/>
      </c>
      <c r="B349" s="17" t="str">
        <f>IF('Bill Master List'!F31="Yes",'Bill Master List'!B31,"")</f>
        <v/>
      </c>
      <c r="C349" s="20" t="str">
        <f>IF('Bill Master List'!F31="Yes",'Bill Master List'!C31,"")</f>
        <v/>
      </c>
      <c r="D349" s="20" t="str">
        <f>IF('Bill Master List'!F31="Yes",'Bill Master List'!D31,"")</f>
        <v/>
      </c>
      <c r="E349" s="64" t="str">
        <f>IF('Bill Master List'!F31="Yes",'Bill Master List'!E31,"")</f>
        <v/>
      </c>
      <c r="F349" s="17" t="str">
        <f>IF('Bill Master List'!F31="Yes",'Bill Master List'!G31,"")</f>
        <v/>
      </c>
      <c r="G349" s="64" t="str">
        <f>IF('Bill Master List'!F31="Yes",'Bill Master List'!H31,"")</f>
        <v/>
      </c>
      <c r="H349" s="19" t="str">
        <f>IF('Bill Master List'!F31="Yes",'Bill Master List'!I31,"")</f>
        <v/>
      </c>
    </row>
    <row r="350" spans="1:8" x14ac:dyDescent="0.3">
      <c r="A350" s="20" t="str">
        <f>IF('Bill Master List'!F32="Yes",'Bill Master List'!A32,"")</f>
        <v/>
      </c>
      <c r="B350" s="17" t="str">
        <f>IF('Bill Master List'!F32="Yes",'Bill Master List'!B32,"")</f>
        <v/>
      </c>
      <c r="C350" s="20" t="str">
        <f>IF('Bill Master List'!F32="Yes",'Bill Master List'!C32,"")</f>
        <v/>
      </c>
      <c r="D350" s="20" t="str">
        <f>IF('Bill Master List'!F32="Yes",'Bill Master List'!D32,"")</f>
        <v/>
      </c>
      <c r="E350" s="64" t="str">
        <f>IF('Bill Master List'!F32="Yes",'Bill Master List'!E32,"")</f>
        <v/>
      </c>
      <c r="F350" s="17" t="str">
        <f>IF('Bill Master List'!F32="Yes",'Bill Master List'!G32,"")</f>
        <v/>
      </c>
      <c r="G350" s="64" t="str">
        <f>IF('Bill Master List'!F32="Yes",'Bill Master List'!H32,"")</f>
        <v/>
      </c>
      <c r="H350" s="19" t="str">
        <f>IF('Bill Master List'!F32="Yes",'Bill Master List'!I32,"")</f>
        <v/>
      </c>
    </row>
    <row r="351" spans="1:8" x14ac:dyDescent="0.3">
      <c r="A351" s="22" t="s">
        <v>172</v>
      </c>
      <c r="B351" s="23" t="s">
        <v>173</v>
      </c>
      <c r="C351" s="23" t="s">
        <v>174</v>
      </c>
      <c r="D351" s="23" t="s">
        <v>175</v>
      </c>
      <c r="E351" s="68" t="s">
        <v>176</v>
      </c>
      <c r="F351" s="23" t="s">
        <v>177</v>
      </c>
      <c r="G351" s="65" t="s">
        <v>178</v>
      </c>
      <c r="H351" s="24" t="s">
        <v>179</v>
      </c>
    </row>
    <row r="352" spans="1:8" x14ac:dyDescent="0.3">
      <c r="B352" s="25">
        <f>SUMIF(D321:D350,"Card1",B321:B350)</f>
        <v>587</v>
      </c>
      <c r="C352" s="25">
        <f>SUMIF(D321:D350,"Card2",B321:B350)</f>
        <v>398</v>
      </c>
      <c r="D352" s="25">
        <f>SUMIF(D321:D350,"Card3",B321:B350)</f>
        <v>1265</v>
      </c>
      <c r="E352" s="69">
        <f>SUMIF(D321:D350,"Card4",B321:B350)</f>
        <v>200</v>
      </c>
      <c r="F352" s="25">
        <f>SUMIF(D321:D350,"Card5",B321:B350)</f>
        <v>630</v>
      </c>
      <c r="G352" s="66">
        <f>SUM(B321:B350)</f>
        <v>3080</v>
      </c>
      <c r="H352" s="26">
        <f>SUM(F321:F350)</f>
        <v>249</v>
      </c>
    </row>
    <row r="354" spans="1:8" ht="15.6" customHeight="1" x14ac:dyDescent="0.3">
      <c r="A354" s="98" t="s">
        <v>189</v>
      </c>
      <c r="B354" s="86"/>
      <c r="C354" s="86"/>
      <c r="D354" s="86"/>
      <c r="E354" s="97"/>
      <c r="F354" s="86"/>
      <c r="G354" s="97"/>
      <c r="H354" s="86"/>
    </row>
    <row r="355" spans="1:8" x14ac:dyDescent="0.3">
      <c r="A355" s="21" t="s">
        <v>130</v>
      </c>
      <c r="B355" s="21" t="s">
        <v>131</v>
      </c>
      <c r="C355" s="21" t="s">
        <v>96</v>
      </c>
      <c r="D355" s="21" t="s">
        <v>170</v>
      </c>
      <c r="E355" s="63" t="s">
        <v>133</v>
      </c>
      <c r="F355" s="21" t="s">
        <v>134</v>
      </c>
      <c r="G355" s="63" t="s">
        <v>171</v>
      </c>
      <c r="H355" s="21" t="s">
        <v>136</v>
      </c>
    </row>
    <row r="356" spans="1:8" x14ac:dyDescent="0.3">
      <c r="A356" s="20" t="str">
        <f>IF('Bill Master List'!F3="Yes",'Bill Master List'!A3,"")</f>
        <v>Storage 1</v>
      </c>
      <c r="B356" s="17">
        <f>IF('Bill Master List'!F3="Yes",'Bill Master List'!B3,"")</f>
        <v>478</v>
      </c>
      <c r="C356" s="20">
        <f>IF('Bill Master List'!F3="Yes",'Bill Master List'!C3,"")</f>
        <v>1</v>
      </c>
      <c r="D356" s="20" t="str">
        <f>IF('Bill Master List'!F3="Yes",'Bill Master List'!D3,"")</f>
        <v>Card1</v>
      </c>
      <c r="E356" s="64" t="str">
        <f>IF('Bill Master List'!F3="Yes",'Bill Master List'!E3,"")</f>
        <v>Housing</v>
      </c>
      <c r="F356" s="17">
        <f>IF('Bill Master List'!F3="Yes",'Bill Master List'!G3,"")</f>
        <v>40</v>
      </c>
      <c r="G356" s="64">
        <f>IF('Bill Master List'!F3="Yes",'Bill Master List'!H3,"")</f>
        <v>5</v>
      </c>
      <c r="H356" s="19" t="str">
        <f>IF('Bill Master List'!F3="Yes",'Bill Master List'!I3,"")</f>
        <v>Lien risk after 30 days late</v>
      </c>
    </row>
    <row r="357" spans="1:8" x14ac:dyDescent="0.3">
      <c r="A357" s="20" t="str">
        <f>IF('Bill Master List'!F4="Yes",'Bill Master List'!A4,"")</f>
        <v>Storage 2</v>
      </c>
      <c r="B357" s="17">
        <f>IF('Bill Master List'!F4="Yes",'Bill Master List'!B4,"")</f>
        <v>109</v>
      </c>
      <c r="C357" s="20">
        <f>IF('Bill Master List'!F4="Yes",'Bill Master List'!C4,"")</f>
        <v>1</v>
      </c>
      <c r="D357" s="20" t="str">
        <f>IF('Bill Master List'!F4="Yes",'Bill Master List'!D4,"")</f>
        <v>Card1</v>
      </c>
      <c r="E357" s="64" t="str">
        <f>IF('Bill Master List'!F4="Yes",'Bill Master List'!E4,"")</f>
        <v>Housing</v>
      </c>
      <c r="F357" s="17">
        <f>IF('Bill Master List'!F4="Yes",'Bill Master List'!G4,"")</f>
        <v>25</v>
      </c>
      <c r="G357" s="64">
        <f>IF('Bill Master List'!F4="Yes",'Bill Master List'!H4,"")</f>
        <v>5</v>
      </c>
      <c r="H357" s="19" t="str">
        <f>IF('Bill Master List'!F4="Yes",'Bill Master List'!I4,"")</f>
        <v>Lien risk after 30 days late</v>
      </c>
    </row>
    <row r="358" spans="1:8" x14ac:dyDescent="0.3">
      <c r="A358" s="20" t="str">
        <f>IF('Bill Master List'!F5="Yes",'Bill Master List'!A5,"")</f>
        <v>Storage 3</v>
      </c>
      <c r="B358" s="17">
        <f>IF('Bill Master List'!F5="Yes",'Bill Master List'!B5,"")</f>
        <v>180</v>
      </c>
      <c r="C358" s="20">
        <f>IF('Bill Master List'!F5="Yes",'Bill Master List'!C5,"")</f>
        <v>1</v>
      </c>
      <c r="D358" s="20" t="str">
        <f>IF('Bill Master List'!F5="Yes",'Bill Master List'!D5,"")</f>
        <v>Card2</v>
      </c>
      <c r="E358" s="64" t="str">
        <f>IF('Bill Master List'!F5="Yes",'Bill Master List'!E5,"")</f>
        <v>Housing</v>
      </c>
      <c r="F358" s="17">
        <f>IF('Bill Master List'!F5="Yes",'Bill Master List'!G5,"")</f>
        <v>25</v>
      </c>
      <c r="G358" s="64">
        <f>IF('Bill Master List'!F5="Yes",'Bill Master List'!H5,"")</f>
        <v>5</v>
      </c>
      <c r="H358" s="19" t="str">
        <f>IF('Bill Master List'!F5="Yes",'Bill Master List'!I5,"")</f>
        <v>Lien risk after 30 days late</v>
      </c>
    </row>
    <row r="359" spans="1:8" x14ac:dyDescent="0.3">
      <c r="A359" s="20" t="str">
        <f>IF('Bill Master List'!F6="Yes",'Bill Master List'!A6,"")</f>
        <v>Storage 4</v>
      </c>
      <c r="B359" s="17">
        <f>IF('Bill Master List'!F6="Yes",'Bill Master List'!B6,"")</f>
        <v>98</v>
      </c>
      <c r="C359" s="20">
        <f>IF('Bill Master List'!F6="Yes",'Bill Master List'!C6,"")</f>
        <v>1</v>
      </c>
      <c r="D359" s="20" t="str">
        <f>IF('Bill Master List'!F6="Yes",'Bill Master List'!D6,"")</f>
        <v>Card2</v>
      </c>
      <c r="E359" s="64" t="str">
        <f>IF('Bill Master List'!F6="Yes",'Bill Master List'!E6,"")</f>
        <v>Housing</v>
      </c>
      <c r="F359" s="17">
        <f>IF('Bill Master List'!F6="Yes",'Bill Master List'!G6,"")</f>
        <v>20</v>
      </c>
      <c r="G359" s="64">
        <f>IF('Bill Master List'!F6="Yes",'Bill Master List'!H6,"")</f>
        <v>5</v>
      </c>
      <c r="H359" s="19" t="str">
        <f>IF('Bill Master List'!F6="Yes",'Bill Master List'!I6,"")</f>
        <v>Lien risk after 30 days late</v>
      </c>
    </row>
    <row r="360" spans="1:8" x14ac:dyDescent="0.3">
      <c r="A360" s="20" t="str">
        <f>IF('Bill Master List'!F7="Yes",'Bill Master List'!A7,"")</f>
        <v>Intuit</v>
      </c>
      <c r="B360" s="17">
        <f>IF('Bill Master List'!F7="Yes",'Bill Master List'!B7,"")</f>
        <v>75</v>
      </c>
      <c r="C360" s="20">
        <f>IF('Bill Master List'!F7="Yes",'Bill Master List'!C7,"")</f>
        <v>20</v>
      </c>
      <c r="D360" s="20" t="str">
        <f>IF('Bill Master List'!F7="Yes",'Bill Master List'!D7,"")</f>
        <v>Card2</v>
      </c>
      <c r="E360" s="64" t="str">
        <f>IF('Bill Master List'!F7="Yes",'Bill Master List'!E7,"")</f>
        <v>Utilities</v>
      </c>
      <c r="F360" s="17">
        <f>IF('Bill Master List'!F7="Yes",'Bill Master List'!G7,"")</f>
        <v>0</v>
      </c>
      <c r="G360" s="64">
        <f>IF('Bill Master List'!F7="Yes",'Bill Master List'!H7,"")</f>
        <v>0</v>
      </c>
      <c r="H360" s="19" t="str">
        <f>IF('Bill Master List'!F7="Yes",'Bill Master List'!I7,"")</f>
        <v>Service suspended if unpaid</v>
      </c>
    </row>
    <row r="361" spans="1:8" x14ac:dyDescent="0.3">
      <c r="A361" s="20" t="str">
        <f>IF('Bill Master List'!F8="Yes",'Bill Master List'!A8,"")</f>
        <v>Cell Phone</v>
      </c>
      <c r="B361" s="17">
        <f>IF('Bill Master List'!F8="Yes",'Bill Master List'!B8,"")</f>
        <v>80</v>
      </c>
      <c r="C361" s="20">
        <f>IF('Bill Master List'!F8="Yes",'Bill Master List'!C8,"")</f>
        <v>5</v>
      </c>
      <c r="D361" s="20" t="str">
        <f>IF('Bill Master List'!F8="Yes",'Bill Master List'!D8,"")</f>
        <v>Card3</v>
      </c>
      <c r="E361" s="64" t="str">
        <f>IF('Bill Master List'!F8="Yes",'Bill Master List'!E8,"")</f>
        <v>Phone</v>
      </c>
      <c r="F361" s="17">
        <f>IF('Bill Master List'!F8="Yes",'Bill Master List'!G8,"")</f>
        <v>25</v>
      </c>
      <c r="G361" s="64">
        <f>IF('Bill Master List'!F8="Yes",'Bill Master List'!H8,"")</f>
        <v>0</v>
      </c>
      <c r="H361" s="19" t="str">
        <f>IF('Bill Master List'!F8="Yes",'Bill Master List'!I8,"")</f>
        <v>Service disconnected after 30 days</v>
      </c>
    </row>
    <row r="362" spans="1:8" ht="28.8" customHeight="1" x14ac:dyDescent="0.3">
      <c r="A362" s="20" t="str">
        <f>IF('Bill Master List'!F9="Yes",'Bill Master List'!A9,"")</f>
        <v>Car Payment</v>
      </c>
      <c r="B362" s="17">
        <f>IF('Bill Master List'!F9="Yes",'Bill Master List'!B9,"")</f>
        <v>785</v>
      </c>
      <c r="C362" s="20">
        <f>IF('Bill Master List'!F9="Yes",'Bill Master List'!C9,"")</f>
        <v>24</v>
      </c>
      <c r="D362" s="20" t="str">
        <f>IF('Bill Master List'!F9="Yes",'Bill Master List'!D9,"")</f>
        <v>Card3</v>
      </c>
      <c r="E362" s="64" t="str">
        <f>IF('Bill Master List'!F9="Yes",'Bill Master List'!E9,"")</f>
        <v>Auto</v>
      </c>
      <c r="F362" s="17">
        <f>IF('Bill Master List'!F9="Yes",'Bill Master List'!G9,"")</f>
        <v>39</v>
      </c>
      <c r="G362" s="64">
        <f>IF('Bill Master List'!F9="Yes",'Bill Master List'!H9,"")</f>
        <v>10</v>
      </c>
      <c r="H362" s="19" t="str">
        <f>IF('Bill Master List'!F9="Yes",'Bill Master List'!I9,"")</f>
        <v>Repo risk after 60+ days. Hits credit report at 30 days.</v>
      </c>
    </row>
    <row r="363" spans="1:8" x14ac:dyDescent="0.3">
      <c r="A363" s="20" t="str">
        <f>IF('Bill Master List'!F10="Yes",'Bill Master List'!A10,"")</f>
        <v>Car Insurance</v>
      </c>
      <c r="B363" s="17">
        <f>IF('Bill Master List'!F10="Yes",'Bill Master List'!B10,"")</f>
        <v>0</v>
      </c>
      <c r="C363" s="20">
        <f>IF('Bill Master List'!F10="Yes",'Bill Master List'!C10,"")</f>
        <v>10</v>
      </c>
      <c r="D363" s="20" t="str">
        <f>IF('Bill Master List'!F10="Yes",'Bill Master List'!D10,"")</f>
        <v>Card1</v>
      </c>
      <c r="E363" s="64" t="str">
        <f>IF('Bill Master List'!F10="Yes",'Bill Master List'!E10,"")</f>
        <v>Auto</v>
      </c>
      <c r="F363" s="17">
        <f>IF('Bill Master List'!F10="Yes",'Bill Master List'!G10,"")</f>
        <v>25</v>
      </c>
      <c r="G363" s="64">
        <f>IF('Bill Master List'!F10="Yes",'Bill Master List'!H10,"")</f>
        <v>10</v>
      </c>
      <c r="H363" s="19" t="str">
        <f>IF('Bill Master List'!F10="Yes",'Bill Master List'!I10,"")</f>
        <v>Policy cancellation after lapse</v>
      </c>
    </row>
    <row r="364" spans="1:8" x14ac:dyDescent="0.3">
      <c r="A364" s="20" t="str">
        <f>IF('Bill Master List'!F11="Yes",'Bill Master List'!A11,"")</f>
        <v>Gas/Fuel</v>
      </c>
      <c r="B364" s="17">
        <f>IF('Bill Master List'!F11="Yes",'Bill Master List'!B11,"")</f>
        <v>200</v>
      </c>
      <c r="C364" s="20">
        <f>IF('Bill Master List'!F11="Yes",'Bill Master List'!C11,"")</f>
        <v>15</v>
      </c>
      <c r="D364" s="20" t="str">
        <f>IF('Bill Master List'!F11="Yes",'Bill Master List'!D11,"")</f>
        <v>Card4</v>
      </c>
      <c r="E364" s="64" t="str">
        <f>IF('Bill Master List'!F11="Yes",'Bill Master List'!E11,"")</f>
        <v>Auto</v>
      </c>
      <c r="F364" s="17">
        <f>IF('Bill Master List'!F11="Yes",'Bill Master List'!G11,"")</f>
        <v>0</v>
      </c>
      <c r="G364" s="64">
        <f>IF('Bill Master List'!F11="Yes",'Bill Master List'!H11,"")</f>
        <v>0</v>
      </c>
      <c r="H364" s="19" t="str">
        <f>IF('Bill Master List'!F11="Yes",'Bill Master List'!I11,"")</f>
        <v>Variable expense - no late fee</v>
      </c>
    </row>
    <row r="365" spans="1:8" x14ac:dyDescent="0.3">
      <c r="A365" s="20" t="str">
        <f>IF('Bill Master List'!F12="Yes",'Bill Master List'!A12,"")</f>
        <v>Groceries</v>
      </c>
      <c r="B365" s="17">
        <f>IF('Bill Master List'!F12="Yes",'Bill Master List'!B12,"")</f>
        <v>400</v>
      </c>
      <c r="C365" s="20">
        <f>IF('Bill Master List'!F12="Yes",'Bill Master List'!C12,"")</f>
        <v>1</v>
      </c>
      <c r="D365" s="20" t="str">
        <f>IF('Bill Master List'!F12="Yes",'Bill Master List'!D12,"")</f>
        <v>Card3</v>
      </c>
      <c r="E365" s="64" t="str">
        <f>IF('Bill Master List'!F12="Yes",'Bill Master List'!E12,"")</f>
        <v>Health</v>
      </c>
      <c r="F365" s="17">
        <f>IF('Bill Master List'!F12="Yes",'Bill Master List'!G12,"")</f>
        <v>0</v>
      </c>
      <c r="G365" s="64">
        <f>IF('Bill Master List'!F12="Yes",'Bill Master List'!H12,"")</f>
        <v>0</v>
      </c>
      <c r="H365" s="19" t="str">
        <f>IF('Bill Master List'!F12="Yes",'Bill Master List'!I12,"")</f>
        <v>Variable expense - no late fee</v>
      </c>
    </row>
    <row r="366" spans="1:8" x14ac:dyDescent="0.3">
      <c r="A366" s="20" t="str">
        <f>IF('Bill Master List'!F13="Yes",'Bill Master List'!A13,"")</f>
        <v>Klarna</v>
      </c>
      <c r="B366" s="17">
        <f>IF('Bill Master List'!F13="Yes",'Bill Master List'!B13,"")</f>
        <v>45</v>
      </c>
      <c r="C366" s="20">
        <f>IF('Bill Master List'!F13="Yes",'Bill Master List'!C13,"")</f>
        <v>15</v>
      </c>
      <c r="D366" s="20" t="str">
        <f>IF('Bill Master List'!F13="Yes",'Bill Master List'!D13,"")</f>
        <v>Card2</v>
      </c>
      <c r="E366" s="64" t="str">
        <f>IF('Bill Master List'!F13="Yes",'Bill Master List'!E13,"")</f>
        <v>Entertainment</v>
      </c>
      <c r="F366" s="17">
        <f>IF('Bill Master List'!F13="Yes",'Bill Master List'!G13,"")</f>
        <v>25</v>
      </c>
      <c r="G366" s="64">
        <f>IF('Bill Master List'!F13="Yes",'Bill Master List'!H13,"")</f>
        <v>0</v>
      </c>
      <c r="H366" s="19" t="str">
        <f>IF('Bill Master List'!F13="Yes",'Bill Master List'!I13,"")</f>
        <v>Hits credit after 30 days late</v>
      </c>
    </row>
    <row r="367" spans="1:8" x14ac:dyDescent="0.3">
      <c r="A367" s="20" t="str">
        <f>IF('Bill Master List'!F14="Yes",'Bill Master List'!A14,"")</f>
        <v>Affirm</v>
      </c>
      <c r="B367" s="17">
        <f>IF('Bill Master List'!F14="Yes",'Bill Master List'!B14,"")</f>
        <v>30</v>
      </c>
      <c r="C367" s="20">
        <f>IF('Bill Master List'!F14="Yes",'Bill Master List'!C14,"")</f>
        <v>20</v>
      </c>
      <c r="D367" s="20" t="str">
        <f>IF('Bill Master List'!F14="Yes",'Bill Master List'!D14,"")</f>
        <v>Card5</v>
      </c>
      <c r="E367" s="64" t="str">
        <f>IF('Bill Master List'!F14="Yes",'Bill Master List'!E14,"")</f>
        <v>Food</v>
      </c>
      <c r="F367" s="17">
        <f>IF('Bill Master List'!F14="Yes",'Bill Master List'!G14,"")</f>
        <v>0</v>
      </c>
      <c r="G367" s="64">
        <f>IF('Bill Master List'!F14="Yes",'Bill Master List'!H14,"")</f>
        <v>0</v>
      </c>
      <c r="H367" s="19" t="str">
        <f>IF('Bill Master List'!F14="Yes",'Bill Master List'!I14,"")</f>
        <v>No late fee but hits credit at 30 days</v>
      </c>
    </row>
    <row r="368" spans="1:8" ht="28.8" customHeight="1" x14ac:dyDescent="0.3">
      <c r="A368" s="20" t="str">
        <f>IF('Bill Master List'!F15="Yes",'Bill Master List'!A15,"")</f>
        <v>NTTA</v>
      </c>
      <c r="B368" s="17">
        <f>IF('Bill Master List'!F15="Yes",'Bill Master List'!B15,"")</f>
        <v>600</v>
      </c>
      <c r="C368" s="20">
        <f>IF('Bill Master List'!F15="Yes",'Bill Master List'!C15,"")</f>
        <v>15</v>
      </c>
      <c r="D368" s="20" t="str">
        <f>IF('Bill Master List'!F15="Yes",'Bill Master List'!D15,"")</f>
        <v>Card5</v>
      </c>
      <c r="E368" s="64" t="str">
        <f>IF('Bill Master List'!F15="Yes",'Bill Master List'!E15,"")</f>
        <v>Auto</v>
      </c>
      <c r="F368" s="17">
        <f>IF('Bill Master List'!F15="Yes",'Bill Master List'!G15,"")</f>
        <v>25</v>
      </c>
      <c r="G368" s="64">
        <f>IF('Bill Master List'!F15="Yes",'Bill Master List'!H15,"")</f>
        <v>30</v>
      </c>
      <c r="H368" s="19" t="str">
        <f>IF('Bill Master List'!F15="Yes",'Bill Master List'!I15,"")</f>
        <v>Can block vehicle registration. TxTag balance required.</v>
      </c>
    </row>
    <row r="369" spans="1:8" x14ac:dyDescent="0.3">
      <c r="A369" s="20" t="str">
        <f>IF('Bill Master List'!F16="Yes",'Bill Master List'!A16,"")</f>
        <v/>
      </c>
      <c r="B369" s="17" t="str">
        <f>IF('Bill Master List'!F16="Yes",'Bill Master List'!B16,"")</f>
        <v/>
      </c>
      <c r="C369" s="20" t="str">
        <f>IF('Bill Master List'!F16="Yes",'Bill Master List'!C16,"")</f>
        <v/>
      </c>
      <c r="D369" s="20" t="str">
        <f>IF('Bill Master List'!F16="Yes",'Bill Master List'!D16,"")</f>
        <v/>
      </c>
      <c r="E369" s="64" t="str">
        <f>IF('Bill Master List'!F16="Yes",'Bill Master List'!E16,"")</f>
        <v/>
      </c>
      <c r="F369" s="17" t="str">
        <f>IF('Bill Master List'!F16="Yes",'Bill Master List'!G16,"")</f>
        <v/>
      </c>
      <c r="G369" s="64" t="str">
        <f>IF('Bill Master List'!F16="Yes",'Bill Master List'!H16,"")</f>
        <v/>
      </c>
      <c r="H369" s="19" t="str">
        <f>IF('Bill Master List'!F16="Yes",'Bill Master List'!I16,"")</f>
        <v/>
      </c>
    </row>
    <row r="370" spans="1:8" x14ac:dyDescent="0.3">
      <c r="A370" s="20" t="str">
        <f>IF('Bill Master List'!F17="Yes",'Bill Master List'!A17,"")</f>
        <v/>
      </c>
      <c r="B370" s="17" t="str">
        <f>IF('Bill Master List'!F17="Yes",'Bill Master List'!B17,"")</f>
        <v/>
      </c>
      <c r="C370" s="20" t="str">
        <f>IF('Bill Master List'!F17="Yes",'Bill Master List'!C17,"")</f>
        <v/>
      </c>
      <c r="D370" s="20" t="str">
        <f>IF('Bill Master List'!F17="Yes",'Bill Master List'!D17,"")</f>
        <v/>
      </c>
      <c r="E370" s="64" t="str">
        <f>IF('Bill Master List'!F17="Yes",'Bill Master List'!E17,"")</f>
        <v/>
      </c>
      <c r="F370" s="17" t="str">
        <f>IF('Bill Master List'!F17="Yes",'Bill Master List'!G17,"")</f>
        <v/>
      </c>
      <c r="G370" s="64" t="str">
        <f>IF('Bill Master List'!F17="Yes",'Bill Master List'!H17,"")</f>
        <v/>
      </c>
      <c r="H370" s="19" t="str">
        <f>IF('Bill Master List'!F17="Yes",'Bill Master List'!I17,"")</f>
        <v/>
      </c>
    </row>
    <row r="371" spans="1:8" x14ac:dyDescent="0.3">
      <c r="A371" s="20" t="str">
        <f>IF('Bill Master List'!F18="Yes",'Bill Master List'!A18,"")</f>
        <v/>
      </c>
      <c r="B371" s="17" t="str">
        <f>IF('Bill Master List'!F18="Yes",'Bill Master List'!B18,"")</f>
        <v/>
      </c>
      <c r="C371" s="20" t="str">
        <f>IF('Bill Master List'!F18="Yes",'Bill Master List'!C18,"")</f>
        <v/>
      </c>
      <c r="D371" s="20" t="str">
        <f>IF('Bill Master List'!F18="Yes",'Bill Master List'!D18,"")</f>
        <v/>
      </c>
      <c r="E371" s="64" t="str">
        <f>IF('Bill Master List'!F18="Yes",'Bill Master List'!E18,"")</f>
        <v/>
      </c>
      <c r="F371" s="17" t="str">
        <f>IF('Bill Master List'!F18="Yes",'Bill Master List'!G18,"")</f>
        <v/>
      </c>
      <c r="G371" s="64" t="str">
        <f>IF('Bill Master List'!F18="Yes",'Bill Master List'!H18,"")</f>
        <v/>
      </c>
      <c r="H371" s="19" t="str">
        <f>IF('Bill Master List'!F18="Yes",'Bill Master List'!I18,"")</f>
        <v/>
      </c>
    </row>
    <row r="372" spans="1:8" x14ac:dyDescent="0.3">
      <c r="A372" s="20" t="str">
        <f>IF('Bill Master List'!F19="Yes",'Bill Master List'!A19,"")</f>
        <v/>
      </c>
      <c r="B372" s="17" t="str">
        <f>IF('Bill Master List'!F19="Yes",'Bill Master List'!B19,"")</f>
        <v/>
      </c>
      <c r="C372" s="20" t="str">
        <f>IF('Bill Master List'!F19="Yes",'Bill Master List'!C19,"")</f>
        <v/>
      </c>
      <c r="D372" s="20" t="str">
        <f>IF('Bill Master List'!F19="Yes",'Bill Master List'!D19,"")</f>
        <v/>
      </c>
      <c r="E372" s="64" t="str">
        <f>IF('Bill Master List'!F19="Yes",'Bill Master List'!E19,"")</f>
        <v/>
      </c>
      <c r="F372" s="17" t="str">
        <f>IF('Bill Master List'!F19="Yes",'Bill Master List'!G19,"")</f>
        <v/>
      </c>
      <c r="G372" s="64" t="str">
        <f>IF('Bill Master List'!F19="Yes",'Bill Master List'!H19,"")</f>
        <v/>
      </c>
      <c r="H372" s="19" t="str">
        <f>IF('Bill Master List'!F19="Yes",'Bill Master List'!I19,"")</f>
        <v/>
      </c>
    </row>
    <row r="373" spans="1:8" x14ac:dyDescent="0.3">
      <c r="A373" s="20" t="str">
        <f>IF('Bill Master List'!F20="Yes",'Bill Master List'!A20,"")</f>
        <v/>
      </c>
      <c r="B373" s="17" t="str">
        <f>IF('Bill Master List'!F20="Yes",'Bill Master List'!B20,"")</f>
        <v/>
      </c>
      <c r="C373" s="20" t="str">
        <f>IF('Bill Master List'!F20="Yes",'Bill Master List'!C20,"")</f>
        <v/>
      </c>
      <c r="D373" s="20" t="str">
        <f>IF('Bill Master List'!F20="Yes",'Bill Master List'!D20,"")</f>
        <v/>
      </c>
      <c r="E373" s="64" t="str">
        <f>IF('Bill Master List'!F20="Yes",'Bill Master List'!E20,"")</f>
        <v/>
      </c>
      <c r="F373" s="17" t="str">
        <f>IF('Bill Master List'!F20="Yes",'Bill Master List'!G20,"")</f>
        <v/>
      </c>
      <c r="G373" s="64" t="str">
        <f>IF('Bill Master List'!F20="Yes",'Bill Master List'!H20,"")</f>
        <v/>
      </c>
      <c r="H373" s="19" t="str">
        <f>IF('Bill Master List'!F20="Yes",'Bill Master List'!I20,"")</f>
        <v/>
      </c>
    </row>
    <row r="374" spans="1:8" x14ac:dyDescent="0.3">
      <c r="A374" s="20" t="str">
        <f>IF('Bill Master List'!F21="Yes",'Bill Master List'!A21,"")</f>
        <v/>
      </c>
      <c r="B374" s="17" t="str">
        <f>IF('Bill Master List'!F21="Yes",'Bill Master List'!B21,"")</f>
        <v/>
      </c>
      <c r="C374" s="20" t="str">
        <f>IF('Bill Master List'!F21="Yes",'Bill Master List'!C21,"")</f>
        <v/>
      </c>
      <c r="D374" s="20" t="str">
        <f>IF('Bill Master List'!F21="Yes",'Bill Master List'!D21,"")</f>
        <v/>
      </c>
      <c r="E374" s="64" t="str">
        <f>IF('Bill Master List'!F21="Yes",'Bill Master List'!E21,"")</f>
        <v/>
      </c>
      <c r="F374" s="17" t="str">
        <f>IF('Bill Master List'!F21="Yes",'Bill Master List'!G21,"")</f>
        <v/>
      </c>
      <c r="G374" s="64" t="str">
        <f>IF('Bill Master List'!F21="Yes",'Bill Master List'!H21,"")</f>
        <v/>
      </c>
      <c r="H374" s="19" t="str">
        <f>IF('Bill Master List'!F21="Yes",'Bill Master List'!I21,"")</f>
        <v/>
      </c>
    </row>
    <row r="375" spans="1:8" x14ac:dyDescent="0.3">
      <c r="A375" s="20" t="str">
        <f>IF('Bill Master List'!F22="Yes",'Bill Master List'!A22,"")</f>
        <v/>
      </c>
      <c r="B375" s="17" t="str">
        <f>IF('Bill Master List'!F22="Yes",'Bill Master List'!B22,"")</f>
        <v/>
      </c>
      <c r="C375" s="20" t="str">
        <f>IF('Bill Master List'!F22="Yes",'Bill Master List'!C22,"")</f>
        <v/>
      </c>
      <c r="D375" s="20" t="str">
        <f>IF('Bill Master List'!F22="Yes",'Bill Master List'!D22,"")</f>
        <v/>
      </c>
      <c r="E375" s="64" t="str">
        <f>IF('Bill Master List'!F22="Yes",'Bill Master List'!E22,"")</f>
        <v/>
      </c>
      <c r="F375" s="17" t="str">
        <f>IF('Bill Master List'!F22="Yes",'Bill Master List'!G22,"")</f>
        <v/>
      </c>
      <c r="G375" s="64" t="str">
        <f>IF('Bill Master List'!F22="Yes",'Bill Master List'!H22,"")</f>
        <v/>
      </c>
      <c r="H375" s="19" t="str">
        <f>IF('Bill Master List'!F22="Yes",'Bill Master List'!I22,"")</f>
        <v/>
      </c>
    </row>
    <row r="376" spans="1:8" x14ac:dyDescent="0.3">
      <c r="A376" s="20" t="str">
        <f>IF('Bill Master List'!F23="Yes",'Bill Master List'!A23,"")</f>
        <v/>
      </c>
      <c r="B376" s="17" t="str">
        <f>IF('Bill Master List'!F23="Yes",'Bill Master List'!B23,"")</f>
        <v/>
      </c>
      <c r="C376" s="20" t="str">
        <f>IF('Bill Master List'!F23="Yes",'Bill Master List'!C23,"")</f>
        <v/>
      </c>
      <c r="D376" s="20" t="str">
        <f>IF('Bill Master List'!F23="Yes",'Bill Master List'!D23,"")</f>
        <v/>
      </c>
      <c r="E376" s="64" t="str">
        <f>IF('Bill Master List'!F23="Yes",'Bill Master List'!E23,"")</f>
        <v/>
      </c>
      <c r="F376" s="17" t="str">
        <f>IF('Bill Master List'!F23="Yes",'Bill Master List'!G23,"")</f>
        <v/>
      </c>
      <c r="G376" s="64" t="str">
        <f>IF('Bill Master List'!F23="Yes",'Bill Master List'!H23,"")</f>
        <v/>
      </c>
      <c r="H376" s="19" t="str">
        <f>IF('Bill Master List'!F23="Yes",'Bill Master List'!I23,"")</f>
        <v/>
      </c>
    </row>
    <row r="377" spans="1:8" x14ac:dyDescent="0.3">
      <c r="A377" s="20" t="str">
        <f>IF('Bill Master List'!F24="Yes",'Bill Master List'!A24,"")</f>
        <v/>
      </c>
      <c r="B377" s="17" t="str">
        <f>IF('Bill Master List'!F24="Yes",'Bill Master List'!B24,"")</f>
        <v/>
      </c>
      <c r="C377" s="20" t="str">
        <f>IF('Bill Master List'!F24="Yes",'Bill Master List'!C24,"")</f>
        <v/>
      </c>
      <c r="D377" s="20" t="str">
        <f>IF('Bill Master List'!F24="Yes",'Bill Master List'!D24,"")</f>
        <v/>
      </c>
      <c r="E377" s="64" t="str">
        <f>IF('Bill Master List'!F24="Yes",'Bill Master List'!E24,"")</f>
        <v/>
      </c>
      <c r="F377" s="17" t="str">
        <f>IF('Bill Master List'!F24="Yes",'Bill Master List'!G24,"")</f>
        <v/>
      </c>
      <c r="G377" s="64" t="str">
        <f>IF('Bill Master List'!F24="Yes",'Bill Master List'!H24,"")</f>
        <v/>
      </c>
      <c r="H377" s="19" t="str">
        <f>IF('Bill Master List'!F24="Yes",'Bill Master List'!I24,"")</f>
        <v/>
      </c>
    </row>
    <row r="378" spans="1:8" x14ac:dyDescent="0.3">
      <c r="A378" s="20" t="str">
        <f>IF('Bill Master List'!F25="Yes",'Bill Master List'!A25,"")</f>
        <v/>
      </c>
      <c r="B378" s="17" t="str">
        <f>IF('Bill Master List'!F25="Yes",'Bill Master List'!B25,"")</f>
        <v/>
      </c>
      <c r="C378" s="20" t="str">
        <f>IF('Bill Master List'!F25="Yes",'Bill Master List'!C25,"")</f>
        <v/>
      </c>
      <c r="D378" s="20" t="str">
        <f>IF('Bill Master List'!F25="Yes",'Bill Master List'!D25,"")</f>
        <v/>
      </c>
      <c r="E378" s="64" t="str">
        <f>IF('Bill Master List'!F25="Yes",'Bill Master List'!E25,"")</f>
        <v/>
      </c>
      <c r="F378" s="17" t="str">
        <f>IF('Bill Master List'!F25="Yes",'Bill Master List'!G25,"")</f>
        <v/>
      </c>
      <c r="G378" s="64" t="str">
        <f>IF('Bill Master List'!F25="Yes",'Bill Master List'!H25,"")</f>
        <v/>
      </c>
      <c r="H378" s="19" t="str">
        <f>IF('Bill Master List'!F25="Yes",'Bill Master List'!I25,"")</f>
        <v/>
      </c>
    </row>
    <row r="379" spans="1:8" x14ac:dyDescent="0.3">
      <c r="A379" s="20" t="str">
        <f>IF('Bill Master List'!F26="Yes",'Bill Master List'!A26,"")</f>
        <v/>
      </c>
      <c r="B379" s="17" t="str">
        <f>IF('Bill Master List'!F26="Yes",'Bill Master List'!B26,"")</f>
        <v/>
      </c>
      <c r="C379" s="20" t="str">
        <f>IF('Bill Master List'!F26="Yes",'Bill Master List'!C26,"")</f>
        <v/>
      </c>
      <c r="D379" s="20" t="str">
        <f>IF('Bill Master List'!F26="Yes",'Bill Master List'!D26,"")</f>
        <v/>
      </c>
      <c r="E379" s="64" t="str">
        <f>IF('Bill Master List'!F26="Yes",'Bill Master List'!E26,"")</f>
        <v/>
      </c>
      <c r="F379" s="17" t="str">
        <f>IF('Bill Master List'!F26="Yes",'Bill Master List'!G26,"")</f>
        <v/>
      </c>
      <c r="G379" s="64" t="str">
        <f>IF('Bill Master List'!F26="Yes",'Bill Master List'!H26,"")</f>
        <v/>
      </c>
      <c r="H379" s="19" t="str">
        <f>IF('Bill Master List'!F26="Yes",'Bill Master List'!I26,"")</f>
        <v/>
      </c>
    </row>
    <row r="380" spans="1:8" x14ac:dyDescent="0.3">
      <c r="A380" s="20" t="str">
        <f>IF('Bill Master List'!F27="Yes",'Bill Master List'!A27,"")</f>
        <v/>
      </c>
      <c r="B380" s="17" t="str">
        <f>IF('Bill Master List'!F27="Yes",'Bill Master List'!B27,"")</f>
        <v/>
      </c>
      <c r="C380" s="20" t="str">
        <f>IF('Bill Master List'!F27="Yes",'Bill Master List'!C27,"")</f>
        <v/>
      </c>
      <c r="D380" s="20" t="str">
        <f>IF('Bill Master List'!F27="Yes",'Bill Master List'!D27,"")</f>
        <v/>
      </c>
      <c r="E380" s="64" t="str">
        <f>IF('Bill Master List'!F27="Yes",'Bill Master List'!E27,"")</f>
        <v/>
      </c>
      <c r="F380" s="17" t="str">
        <f>IF('Bill Master List'!F27="Yes",'Bill Master List'!G27,"")</f>
        <v/>
      </c>
      <c r="G380" s="64" t="str">
        <f>IF('Bill Master List'!F27="Yes",'Bill Master List'!H27,"")</f>
        <v/>
      </c>
      <c r="H380" s="19" t="str">
        <f>IF('Bill Master List'!F27="Yes",'Bill Master List'!I27,"")</f>
        <v/>
      </c>
    </row>
    <row r="381" spans="1:8" x14ac:dyDescent="0.3">
      <c r="A381" s="20" t="str">
        <f>IF('Bill Master List'!F28="Yes",'Bill Master List'!A28,"")</f>
        <v/>
      </c>
      <c r="B381" s="17" t="str">
        <f>IF('Bill Master List'!F28="Yes",'Bill Master List'!B28,"")</f>
        <v/>
      </c>
      <c r="C381" s="20" t="str">
        <f>IF('Bill Master List'!F28="Yes",'Bill Master List'!C28,"")</f>
        <v/>
      </c>
      <c r="D381" s="20" t="str">
        <f>IF('Bill Master List'!F28="Yes",'Bill Master List'!D28,"")</f>
        <v/>
      </c>
      <c r="E381" s="64" t="str">
        <f>IF('Bill Master List'!F28="Yes",'Bill Master List'!E28,"")</f>
        <v/>
      </c>
      <c r="F381" s="17" t="str">
        <f>IF('Bill Master List'!F28="Yes",'Bill Master List'!G28,"")</f>
        <v/>
      </c>
      <c r="G381" s="64" t="str">
        <f>IF('Bill Master List'!F28="Yes",'Bill Master List'!H28,"")</f>
        <v/>
      </c>
      <c r="H381" s="19" t="str">
        <f>IF('Bill Master List'!F28="Yes",'Bill Master List'!I28,"")</f>
        <v/>
      </c>
    </row>
    <row r="382" spans="1:8" x14ac:dyDescent="0.3">
      <c r="A382" s="20" t="str">
        <f>IF('Bill Master List'!F29="Yes",'Bill Master List'!A29,"")</f>
        <v/>
      </c>
      <c r="B382" s="17" t="str">
        <f>IF('Bill Master List'!F29="Yes",'Bill Master List'!B29,"")</f>
        <v/>
      </c>
      <c r="C382" s="20" t="str">
        <f>IF('Bill Master List'!F29="Yes",'Bill Master List'!C29,"")</f>
        <v/>
      </c>
      <c r="D382" s="20" t="str">
        <f>IF('Bill Master List'!F29="Yes",'Bill Master List'!D29,"")</f>
        <v/>
      </c>
      <c r="E382" s="64" t="str">
        <f>IF('Bill Master List'!F29="Yes",'Bill Master List'!E29,"")</f>
        <v/>
      </c>
      <c r="F382" s="17" t="str">
        <f>IF('Bill Master List'!F29="Yes",'Bill Master List'!G29,"")</f>
        <v/>
      </c>
      <c r="G382" s="64" t="str">
        <f>IF('Bill Master List'!F29="Yes",'Bill Master List'!H29,"")</f>
        <v/>
      </c>
      <c r="H382" s="19" t="str">
        <f>IF('Bill Master List'!F29="Yes",'Bill Master List'!I29,"")</f>
        <v/>
      </c>
    </row>
    <row r="383" spans="1:8" x14ac:dyDescent="0.3">
      <c r="A383" s="20" t="str">
        <f>IF('Bill Master List'!F30="Yes",'Bill Master List'!A30,"")</f>
        <v/>
      </c>
      <c r="B383" s="17" t="str">
        <f>IF('Bill Master List'!F30="Yes",'Bill Master List'!B30,"")</f>
        <v/>
      </c>
      <c r="C383" s="20" t="str">
        <f>IF('Bill Master List'!F30="Yes",'Bill Master List'!C30,"")</f>
        <v/>
      </c>
      <c r="D383" s="20" t="str">
        <f>IF('Bill Master List'!F30="Yes",'Bill Master List'!D30,"")</f>
        <v/>
      </c>
      <c r="E383" s="64" t="str">
        <f>IF('Bill Master List'!F30="Yes",'Bill Master List'!E30,"")</f>
        <v/>
      </c>
      <c r="F383" s="17" t="str">
        <f>IF('Bill Master List'!F30="Yes",'Bill Master List'!G30,"")</f>
        <v/>
      </c>
      <c r="G383" s="64" t="str">
        <f>IF('Bill Master List'!F30="Yes",'Bill Master List'!H30,"")</f>
        <v/>
      </c>
      <c r="H383" s="19" t="str">
        <f>IF('Bill Master List'!F30="Yes",'Bill Master List'!I30,"")</f>
        <v/>
      </c>
    </row>
    <row r="384" spans="1:8" x14ac:dyDescent="0.3">
      <c r="A384" s="20" t="str">
        <f>IF('Bill Master List'!F31="Yes",'Bill Master List'!A31,"")</f>
        <v/>
      </c>
      <c r="B384" s="17" t="str">
        <f>IF('Bill Master List'!F31="Yes",'Bill Master List'!B31,"")</f>
        <v/>
      </c>
      <c r="C384" s="20" t="str">
        <f>IF('Bill Master List'!F31="Yes",'Bill Master List'!C31,"")</f>
        <v/>
      </c>
      <c r="D384" s="20" t="str">
        <f>IF('Bill Master List'!F31="Yes",'Bill Master List'!D31,"")</f>
        <v/>
      </c>
      <c r="E384" s="64" t="str">
        <f>IF('Bill Master List'!F31="Yes",'Bill Master List'!E31,"")</f>
        <v/>
      </c>
      <c r="F384" s="17" t="str">
        <f>IF('Bill Master List'!F31="Yes",'Bill Master List'!G31,"")</f>
        <v/>
      </c>
      <c r="G384" s="64" t="str">
        <f>IF('Bill Master List'!F31="Yes",'Bill Master List'!H31,"")</f>
        <v/>
      </c>
      <c r="H384" s="19" t="str">
        <f>IF('Bill Master List'!F31="Yes",'Bill Master List'!I31,"")</f>
        <v/>
      </c>
    </row>
    <row r="385" spans="1:8" x14ac:dyDescent="0.3">
      <c r="A385" s="20" t="str">
        <f>IF('Bill Master List'!F32="Yes",'Bill Master List'!A32,"")</f>
        <v/>
      </c>
      <c r="B385" s="17" t="str">
        <f>IF('Bill Master List'!F32="Yes",'Bill Master List'!B32,"")</f>
        <v/>
      </c>
      <c r="C385" s="20" t="str">
        <f>IF('Bill Master List'!F32="Yes",'Bill Master List'!C32,"")</f>
        <v/>
      </c>
      <c r="D385" s="20" t="str">
        <f>IF('Bill Master List'!F32="Yes",'Bill Master List'!D32,"")</f>
        <v/>
      </c>
      <c r="E385" s="64" t="str">
        <f>IF('Bill Master List'!F32="Yes",'Bill Master List'!E32,"")</f>
        <v/>
      </c>
      <c r="F385" s="17" t="str">
        <f>IF('Bill Master List'!F32="Yes",'Bill Master List'!G32,"")</f>
        <v/>
      </c>
      <c r="G385" s="64" t="str">
        <f>IF('Bill Master List'!F32="Yes",'Bill Master List'!H32,"")</f>
        <v/>
      </c>
      <c r="H385" s="19" t="str">
        <f>IF('Bill Master List'!F32="Yes",'Bill Master List'!I32,"")</f>
        <v/>
      </c>
    </row>
    <row r="386" spans="1:8" x14ac:dyDescent="0.3">
      <c r="A386" s="22" t="s">
        <v>172</v>
      </c>
      <c r="B386" s="23" t="s">
        <v>173</v>
      </c>
      <c r="C386" s="23" t="s">
        <v>174</v>
      </c>
      <c r="D386" s="23" t="s">
        <v>175</v>
      </c>
      <c r="E386" s="68" t="s">
        <v>176</v>
      </c>
      <c r="F386" s="23" t="s">
        <v>177</v>
      </c>
      <c r="G386" s="65" t="s">
        <v>178</v>
      </c>
      <c r="H386" s="24" t="s">
        <v>179</v>
      </c>
    </row>
    <row r="387" spans="1:8" x14ac:dyDescent="0.3">
      <c r="B387" s="25">
        <f>SUMIF(D356:D385,"Card1",B356:B385)</f>
        <v>587</v>
      </c>
      <c r="C387" s="25">
        <f>SUMIF(D356:D385,"Card2",B356:B385)</f>
        <v>398</v>
      </c>
      <c r="D387" s="25">
        <f>SUMIF(D356:D385,"Card3",B356:B385)</f>
        <v>1265</v>
      </c>
      <c r="E387" s="69">
        <f>SUMIF(D356:D385,"Card4",B356:B385)</f>
        <v>200</v>
      </c>
      <c r="F387" s="25">
        <f>SUMIF(D356:D385,"Card5",B356:B385)</f>
        <v>630</v>
      </c>
      <c r="G387" s="66">
        <f>SUM(B356:B385)</f>
        <v>3080</v>
      </c>
      <c r="H387" s="26">
        <f>SUM(F356:F385)</f>
        <v>249</v>
      </c>
    </row>
    <row r="389" spans="1:8" ht="15.6" customHeight="1" x14ac:dyDescent="0.3">
      <c r="A389" s="98" t="s">
        <v>190</v>
      </c>
      <c r="B389" s="86"/>
      <c r="C389" s="86"/>
      <c r="D389" s="86"/>
      <c r="E389" s="97"/>
      <c r="F389" s="86"/>
      <c r="G389" s="97"/>
      <c r="H389" s="86"/>
    </row>
    <row r="390" spans="1:8" x14ac:dyDescent="0.3">
      <c r="A390" s="21" t="s">
        <v>130</v>
      </c>
      <c r="B390" s="21" t="s">
        <v>131</v>
      </c>
      <c r="C390" s="21" t="s">
        <v>96</v>
      </c>
      <c r="D390" s="21" t="s">
        <v>170</v>
      </c>
      <c r="E390" s="63" t="s">
        <v>133</v>
      </c>
      <c r="F390" s="21" t="s">
        <v>134</v>
      </c>
      <c r="G390" s="63" t="s">
        <v>171</v>
      </c>
      <c r="H390" s="21" t="s">
        <v>136</v>
      </c>
    </row>
    <row r="391" spans="1:8" x14ac:dyDescent="0.3">
      <c r="A391" s="20" t="str">
        <f>IF('Bill Master List'!F3="Yes",'Bill Master List'!A3,"")</f>
        <v>Storage 1</v>
      </c>
      <c r="B391" s="17">
        <f>IF('Bill Master List'!F3="Yes",'Bill Master List'!B3,"")</f>
        <v>478</v>
      </c>
      <c r="C391" s="20">
        <f>IF('Bill Master List'!F3="Yes",'Bill Master List'!C3,"")</f>
        <v>1</v>
      </c>
      <c r="D391" s="20" t="str">
        <f>IF('Bill Master List'!F3="Yes",'Bill Master List'!D3,"")</f>
        <v>Card1</v>
      </c>
      <c r="E391" s="64" t="str">
        <f>IF('Bill Master List'!F3="Yes",'Bill Master List'!E3,"")</f>
        <v>Housing</v>
      </c>
      <c r="F391" s="17">
        <f>IF('Bill Master List'!F3="Yes",'Bill Master List'!G3,"")</f>
        <v>40</v>
      </c>
      <c r="G391" s="64">
        <f>IF('Bill Master List'!F3="Yes",'Bill Master List'!H3,"")</f>
        <v>5</v>
      </c>
      <c r="H391" s="19" t="str">
        <f>IF('Bill Master List'!F3="Yes",'Bill Master List'!I3,"")</f>
        <v>Lien risk after 30 days late</v>
      </c>
    </row>
    <row r="392" spans="1:8" x14ac:dyDescent="0.3">
      <c r="A392" s="20" t="str">
        <f>IF('Bill Master List'!F4="Yes",'Bill Master List'!A4,"")</f>
        <v>Storage 2</v>
      </c>
      <c r="B392" s="17">
        <f>IF('Bill Master List'!F4="Yes",'Bill Master List'!B4,"")</f>
        <v>109</v>
      </c>
      <c r="C392" s="20">
        <f>IF('Bill Master List'!F4="Yes",'Bill Master List'!C4,"")</f>
        <v>1</v>
      </c>
      <c r="D392" s="20" t="str">
        <f>IF('Bill Master List'!F4="Yes",'Bill Master List'!D4,"")</f>
        <v>Card1</v>
      </c>
      <c r="E392" s="64" t="str">
        <f>IF('Bill Master List'!F4="Yes",'Bill Master List'!E4,"")</f>
        <v>Housing</v>
      </c>
      <c r="F392" s="17">
        <f>IF('Bill Master List'!F4="Yes",'Bill Master List'!G4,"")</f>
        <v>25</v>
      </c>
      <c r="G392" s="64">
        <f>IF('Bill Master List'!F4="Yes",'Bill Master List'!H4,"")</f>
        <v>5</v>
      </c>
      <c r="H392" s="19" t="str">
        <f>IF('Bill Master List'!F4="Yes",'Bill Master List'!I4,"")</f>
        <v>Lien risk after 30 days late</v>
      </c>
    </row>
    <row r="393" spans="1:8" x14ac:dyDescent="0.3">
      <c r="A393" s="20" t="str">
        <f>IF('Bill Master List'!F5="Yes",'Bill Master List'!A5,"")</f>
        <v>Storage 3</v>
      </c>
      <c r="B393" s="17">
        <f>IF('Bill Master List'!F5="Yes",'Bill Master List'!B5,"")</f>
        <v>180</v>
      </c>
      <c r="C393" s="20">
        <f>IF('Bill Master List'!F5="Yes",'Bill Master List'!C5,"")</f>
        <v>1</v>
      </c>
      <c r="D393" s="20" t="str">
        <f>IF('Bill Master List'!F5="Yes",'Bill Master List'!D5,"")</f>
        <v>Card2</v>
      </c>
      <c r="E393" s="64" t="str">
        <f>IF('Bill Master List'!F5="Yes",'Bill Master List'!E5,"")</f>
        <v>Housing</v>
      </c>
      <c r="F393" s="17">
        <f>IF('Bill Master List'!F5="Yes",'Bill Master List'!G5,"")</f>
        <v>25</v>
      </c>
      <c r="G393" s="64">
        <f>IF('Bill Master List'!F5="Yes",'Bill Master List'!H5,"")</f>
        <v>5</v>
      </c>
      <c r="H393" s="19" t="str">
        <f>IF('Bill Master List'!F5="Yes",'Bill Master List'!I5,"")</f>
        <v>Lien risk after 30 days late</v>
      </c>
    </row>
    <row r="394" spans="1:8" x14ac:dyDescent="0.3">
      <c r="A394" s="20" t="str">
        <f>IF('Bill Master List'!F6="Yes",'Bill Master List'!A6,"")</f>
        <v>Storage 4</v>
      </c>
      <c r="B394" s="17">
        <f>IF('Bill Master List'!F6="Yes",'Bill Master List'!B6,"")</f>
        <v>98</v>
      </c>
      <c r="C394" s="20">
        <f>IF('Bill Master List'!F6="Yes",'Bill Master List'!C6,"")</f>
        <v>1</v>
      </c>
      <c r="D394" s="20" t="str">
        <f>IF('Bill Master List'!F6="Yes",'Bill Master List'!D6,"")</f>
        <v>Card2</v>
      </c>
      <c r="E394" s="64" t="str">
        <f>IF('Bill Master List'!F6="Yes",'Bill Master List'!E6,"")</f>
        <v>Housing</v>
      </c>
      <c r="F394" s="17">
        <f>IF('Bill Master List'!F6="Yes",'Bill Master List'!G6,"")</f>
        <v>20</v>
      </c>
      <c r="G394" s="64">
        <f>IF('Bill Master List'!F6="Yes",'Bill Master List'!H6,"")</f>
        <v>5</v>
      </c>
      <c r="H394" s="19" t="str">
        <f>IF('Bill Master List'!F6="Yes",'Bill Master List'!I6,"")</f>
        <v>Lien risk after 30 days late</v>
      </c>
    </row>
    <row r="395" spans="1:8" x14ac:dyDescent="0.3">
      <c r="A395" s="20" t="str">
        <f>IF('Bill Master List'!F7="Yes",'Bill Master List'!A7,"")</f>
        <v>Intuit</v>
      </c>
      <c r="B395" s="17">
        <f>IF('Bill Master List'!F7="Yes",'Bill Master List'!B7,"")</f>
        <v>75</v>
      </c>
      <c r="C395" s="20">
        <f>IF('Bill Master List'!F7="Yes",'Bill Master List'!C7,"")</f>
        <v>20</v>
      </c>
      <c r="D395" s="20" t="str">
        <f>IF('Bill Master List'!F7="Yes",'Bill Master List'!D7,"")</f>
        <v>Card2</v>
      </c>
      <c r="E395" s="64" t="str">
        <f>IF('Bill Master List'!F7="Yes",'Bill Master List'!E7,"")</f>
        <v>Utilities</v>
      </c>
      <c r="F395" s="17">
        <f>IF('Bill Master List'!F7="Yes",'Bill Master List'!G7,"")</f>
        <v>0</v>
      </c>
      <c r="G395" s="64">
        <f>IF('Bill Master List'!F7="Yes",'Bill Master List'!H7,"")</f>
        <v>0</v>
      </c>
      <c r="H395" s="19" t="str">
        <f>IF('Bill Master List'!F7="Yes",'Bill Master List'!I7,"")</f>
        <v>Service suspended if unpaid</v>
      </c>
    </row>
    <row r="396" spans="1:8" x14ac:dyDescent="0.3">
      <c r="A396" s="20" t="str">
        <f>IF('Bill Master List'!F8="Yes",'Bill Master List'!A8,"")</f>
        <v>Cell Phone</v>
      </c>
      <c r="B396" s="17">
        <f>IF('Bill Master List'!F8="Yes",'Bill Master List'!B8,"")</f>
        <v>80</v>
      </c>
      <c r="C396" s="20">
        <f>IF('Bill Master List'!F8="Yes",'Bill Master List'!C8,"")</f>
        <v>5</v>
      </c>
      <c r="D396" s="20" t="str">
        <f>IF('Bill Master List'!F8="Yes",'Bill Master List'!D8,"")</f>
        <v>Card3</v>
      </c>
      <c r="E396" s="64" t="str">
        <f>IF('Bill Master List'!F8="Yes",'Bill Master List'!E8,"")</f>
        <v>Phone</v>
      </c>
      <c r="F396" s="17">
        <f>IF('Bill Master List'!F8="Yes",'Bill Master List'!G8,"")</f>
        <v>25</v>
      </c>
      <c r="G396" s="64">
        <f>IF('Bill Master List'!F8="Yes",'Bill Master List'!H8,"")</f>
        <v>0</v>
      </c>
      <c r="H396" s="19" t="str">
        <f>IF('Bill Master List'!F8="Yes",'Bill Master List'!I8,"")</f>
        <v>Service disconnected after 30 days</v>
      </c>
    </row>
    <row r="397" spans="1:8" ht="28.8" customHeight="1" x14ac:dyDescent="0.3">
      <c r="A397" s="20" t="str">
        <f>IF('Bill Master List'!F9="Yes",'Bill Master List'!A9,"")</f>
        <v>Car Payment</v>
      </c>
      <c r="B397" s="17">
        <f>IF('Bill Master List'!F9="Yes",'Bill Master List'!B9,"")</f>
        <v>785</v>
      </c>
      <c r="C397" s="20">
        <f>IF('Bill Master List'!F9="Yes",'Bill Master List'!C9,"")</f>
        <v>24</v>
      </c>
      <c r="D397" s="20" t="str">
        <f>IF('Bill Master List'!F9="Yes",'Bill Master List'!D9,"")</f>
        <v>Card3</v>
      </c>
      <c r="E397" s="64" t="str">
        <f>IF('Bill Master List'!F9="Yes",'Bill Master List'!E9,"")</f>
        <v>Auto</v>
      </c>
      <c r="F397" s="17">
        <f>IF('Bill Master List'!F9="Yes",'Bill Master List'!G9,"")</f>
        <v>39</v>
      </c>
      <c r="G397" s="64">
        <f>IF('Bill Master List'!F9="Yes",'Bill Master List'!H9,"")</f>
        <v>10</v>
      </c>
      <c r="H397" s="19" t="str">
        <f>IF('Bill Master List'!F9="Yes",'Bill Master List'!I9,"")</f>
        <v>Repo risk after 60+ days. Hits credit report at 30 days.</v>
      </c>
    </row>
    <row r="398" spans="1:8" x14ac:dyDescent="0.3">
      <c r="A398" s="20" t="str">
        <f>IF('Bill Master List'!F10="Yes",'Bill Master List'!A10,"")</f>
        <v>Car Insurance</v>
      </c>
      <c r="B398" s="17">
        <f>IF('Bill Master List'!F10="Yes",'Bill Master List'!B10,"")</f>
        <v>0</v>
      </c>
      <c r="C398" s="20">
        <f>IF('Bill Master List'!F10="Yes",'Bill Master List'!C10,"")</f>
        <v>10</v>
      </c>
      <c r="D398" s="20" t="str">
        <f>IF('Bill Master List'!F10="Yes",'Bill Master List'!D10,"")</f>
        <v>Card1</v>
      </c>
      <c r="E398" s="64" t="str">
        <f>IF('Bill Master List'!F10="Yes",'Bill Master List'!E10,"")</f>
        <v>Auto</v>
      </c>
      <c r="F398" s="17">
        <f>IF('Bill Master List'!F10="Yes",'Bill Master List'!G10,"")</f>
        <v>25</v>
      </c>
      <c r="G398" s="64">
        <f>IF('Bill Master List'!F10="Yes",'Bill Master List'!H10,"")</f>
        <v>10</v>
      </c>
      <c r="H398" s="19" t="str">
        <f>IF('Bill Master List'!F10="Yes",'Bill Master List'!I10,"")</f>
        <v>Policy cancellation after lapse</v>
      </c>
    </row>
    <row r="399" spans="1:8" x14ac:dyDescent="0.3">
      <c r="A399" s="20" t="str">
        <f>IF('Bill Master List'!F11="Yes",'Bill Master List'!A11,"")</f>
        <v>Gas/Fuel</v>
      </c>
      <c r="B399" s="17">
        <f>IF('Bill Master List'!F11="Yes",'Bill Master List'!B11,"")</f>
        <v>200</v>
      </c>
      <c r="C399" s="20">
        <f>IF('Bill Master List'!F11="Yes",'Bill Master List'!C11,"")</f>
        <v>15</v>
      </c>
      <c r="D399" s="20" t="str">
        <f>IF('Bill Master List'!F11="Yes",'Bill Master List'!D11,"")</f>
        <v>Card4</v>
      </c>
      <c r="E399" s="64" t="str">
        <f>IF('Bill Master List'!F11="Yes",'Bill Master List'!E11,"")</f>
        <v>Auto</v>
      </c>
      <c r="F399" s="17">
        <f>IF('Bill Master List'!F11="Yes",'Bill Master List'!G11,"")</f>
        <v>0</v>
      </c>
      <c r="G399" s="64">
        <f>IF('Bill Master List'!F11="Yes",'Bill Master List'!H11,"")</f>
        <v>0</v>
      </c>
      <c r="H399" s="19" t="str">
        <f>IF('Bill Master List'!F11="Yes",'Bill Master List'!I11,"")</f>
        <v>Variable expense - no late fee</v>
      </c>
    </row>
    <row r="400" spans="1:8" x14ac:dyDescent="0.3">
      <c r="A400" s="20" t="str">
        <f>IF('Bill Master List'!F12="Yes",'Bill Master List'!A12,"")</f>
        <v>Groceries</v>
      </c>
      <c r="B400" s="17">
        <f>IF('Bill Master List'!F12="Yes",'Bill Master List'!B12,"")</f>
        <v>400</v>
      </c>
      <c r="C400" s="20">
        <f>IF('Bill Master List'!F12="Yes",'Bill Master List'!C12,"")</f>
        <v>1</v>
      </c>
      <c r="D400" s="20" t="str">
        <f>IF('Bill Master List'!F12="Yes",'Bill Master List'!D12,"")</f>
        <v>Card3</v>
      </c>
      <c r="E400" s="64" t="str">
        <f>IF('Bill Master List'!F12="Yes",'Bill Master List'!E12,"")</f>
        <v>Health</v>
      </c>
      <c r="F400" s="17">
        <f>IF('Bill Master List'!F12="Yes",'Bill Master List'!G12,"")</f>
        <v>0</v>
      </c>
      <c r="G400" s="64">
        <f>IF('Bill Master List'!F12="Yes",'Bill Master List'!H12,"")</f>
        <v>0</v>
      </c>
      <c r="H400" s="19" t="str">
        <f>IF('Bill Master List'!F12="Yes",'Bill Master List'!I12,"")</f>
        <v>Variable expense - no late fee</v>
      </c>
    </row>
    <row r="401" spans="1:8" x14ac:dyDescent="0.3">
      <c r="A401" s="20" t="str">
        <f>IF('Bill Master List'!F13="Yes",'Bill Master List'!A13,"")</f>
        <v>Klarna</v>
      </c>
      <c r="B401" s="17">
        <f>IF('Bill Master List'!F13="Yes",'Bill Master List'!B13,"")</f>
        <v>45</v>
      </c>
      <c r="C401" s="20">
        <f>IF('Bill Master List'!F13="Yes",'Bill Master List'!C13,"")</f>
        <v>15</v>
      </c>
      <c r="D401" s="20" t="str">
        <f>IF('Bill Master List'!F13="Yes",'Bill Master List'!D13,"")</f>
        <v>Card2</v>
      </c>
      <c r="E401" s="64" t="str">
        <f>IF('Bill Master List'!F13="Yes",'Bill Master List'!E13,"")</f>
        <v>Entertainment</v>
      </c>
      <c r="F401" s="17">
        <f>IF('Bill Master List'!F13="Yes",'Bill Master List'!G13,"")</f>
        <v>25</v>
      </c>
      <c r="G401" s="64">
        <f>IF('Bill Master List'!F13="Yes",'Bill Master List'!H13,"")</f>
        <v>0</v>
      </c>
      <c r="H401" s="19" t="str">
        <f>IF('Bill Master List'!F13="Yes",'Bill Master List'!I13,"")</f>
        <v>Hits credit after 30 days late</v>
      </c>
    </row>
    <row r="402" spans="1:8" x14ac:dyDescent="0.3">
      <c r="A402" s="20" t="str">
        <f>IF('Bill Master List'!F14="Yes",'Bill Master List'!A14,"")</f>
        <v>Affirm</v>
      </c>
      <c r="B402" s="17">
        <f>IF('Bill Master List'!F14="Yes",'Bill Master List'!B14,"")</f>
        <v>30</v>
      </c>
      <c r="C402" s="20">
        <f>IF('Bill Master List'!F14="Yes",'Bill Master List'!C14,"")</f>
        <v>20</v>
      </c>
      <c r="D402" s="20" t="str">
        <f>IF('Bill Master List'!F14="Yes",'Bill Master List'!D14,"")</f>
        <v>Card5</v>
      </c>
      <c r="E402" s="64" t="str">
        <f>IF('Bill Master List'!F14="Yes",'Bill Master List'!E14,"")</f>
        <v>Food</v>
      </c>
      <c r="F402" s="17">
        <f>IF('Bill Master List'!F14="Yes",'Bill Master List'!G14,"")</f>
        <v>0</v>
      </c>
      <c r="G402" s="64">
        <f>IF('Bill Master List'!F14="Yes",'Bill Master List'!H14,"")</f>
        <v>0</v>
      </c>
      <c r="H402" s="19" t="str">
        <f>IF('Bill Master List'!F14="Yes",'Bill Master List'!I14,"")</f>
        <v>No late fee but hits credit at 30 days</v>
      </c>
    </row>
    <row r="403" spans="1:8" ht="28.8" customHeight="1" x14ac:dyDescent="0.3">
      <c r="A403" s="20" t="str">
        <f>IF('Bill Master List'!F15="Yes",'Bill Master List'!A15,"")</f>
        <v>NTTA</v>
      </c>
      <c r="B403" s="17">
        <f>IF('Bill Master List'!F15="Yes",'Bill Master List'!B15,"")</f>
        <v>600</v>
      </c>
      <c r="C403" s="20">
        <f>IF('Bill Master List'!F15="Yes",'Bill Master List'!C15,"")</f>
        <v>15</v>
      </c>
      <c r="D403" s="20" t="str">
        <f>IF('Bill Master List'!F15="Yes",'Bill Master List'!D15,"")</f>
        <v>Card5</v>
      </c>
      <c r="E403" s="64" t="str">
        <f>IF('Bill Master List'!F15="Yes",'Bill Master List'!E15,"")</f>
        <v>Auto</v>
      </c>
      <c r="F403" s="17">
        <f>IF('Bill Master List'!F15="Yes",'Bill Master List'!G15,"")</f>
        <v>25</v>
      </c>
      <c r="G403" s="64">
        <f>IF('Bill Master List'!F15="Yes",'Bill Master List'!H15,"")</f>
        <v>30</v>
      </c>
      <c r="H403" s="19" t="str">
        <f>IF('Bill Master List'!F15="Yes",'Bill Master List'!I15,"")</f>
        <v>Can block vehicle registration. TxTag balance required.</v>
      </c>
    </row>
    <row r="404" spans="1:8" x14ac:dyDescent="0.3">
      <c r="A404" s="20" t="str">
        <f>IF('Bill Master List'!F16="Yes",'Bill Master List'!A16,"")</f>
        <v/>
      </c>
      <c r="B404" s="17" t="str">
        <f>IF('Bill Master List'!F16="Yes",'Bill Master List'!B16,"")</f>
        <v/>
      </c>
      <c r="C404" s="20" t="str">
        <f>IF('Bill Master List'!F16="Yes",'Bill Master List'!C16,"")</f>
        <v/>
      </c>
      <c r="D404" s="20" t="str">
        <f>IF('Bill Master List'!F16="Yes",'Bill Master List'!D16,"")</f>
        <v/>
      </c>
      <c r="E404" s="64" t="str">
        <f>IF('Bill Master List'!F16="Yes",'Bill Master List'!E16,"")</f>
        <v/>
      </c>
      <c r="F404" s="17" t="str">
        <f>IF('Bill Master List'!F16="Yes",'Bill Master List'!G16,"")</f>
        <v/>
      </c>
      <c r="G404" s="64" t="str">
        <f>IF('Bill Master List'!F16="Yes",'Bill Master List'!H16,"")</f>
        <v/>
      </c>
      <c r="H404" s="19" t="str">
        <f>IF('Bill Master List'!F16="Yes",'Bill Master List'!I16,"")</f>
        <v/>
      </c>
    </row>
    <row r="405" spans="1:8" x14ac:dyDescent="0.3">
      <c r="A405" s="20" t="str">
        <f>IF('Bill Master List'!F17="Yes",'Bill Master List'!A17,"")</f>
        <v/>
      </c>
      <c r="B405" s="17" t="str">
        <f>IF('Bill Master List'!F17="Yes",'Bill Master List'!B17,"")</f>
        <v/>
      </c>
      <c r="C405" s="20" t="str">
        <f>IF('Bill Master List'!F17="Yes",'Bill Master List'!C17,"")</f>
        <v/>
      </c>
      <c r="D405" s="20" t="str">
        <f>IF('Bill Master List'!F17="Yes",'Bill Master List'!D17,"")</f>
        <v/>
      </c>
      <c r="E405" s="64" t="str">
        <f>IF('Bill Master List'!F17="Yes",'Bill Master List'!E17,"")</f>
        <v/>
      </c>
      <c r="F405" s="17" t="str">
        <f>IF('Bill Master List'!F17="Yes",'Bill Master List'!G17,"")</f>
        <v/>
      </c>
      <c r="G405" s="64" t="str">
        <f>IF('Bill Master List'!F17="Yes",'Bill Master List'!H17,"")</f>
        <v/>
      </c>
      <c r="H405" s="19" t="str">
        <f>IF('Bill Master List'!F17="Yes",'Bill Master List'!I17,"")</f>
        <v/>
      </c>
    </row>
    <row r="406" spans="1:8" x14ac:dyDescent="0.3">
      <c r="A406" s="20" t="str">
        <f>IF('Bill Master List'!F18="Yes",'Bill Master List'!A18,"")</f>
        <v/>
      </c>
      <c r="B406" s="17" t="str">
        <f>IF('Bill Master List'!F18="Yes",'Bill Master List'!B18,"")</f>
        <v/>
      </c>
      <c r="C406" s="20" t="str">
        <f>IF('Bill Master List'!F18="Yes",'Bill Master List'!C18,"")</f>
        <v/>
      </c>
      <c r="D406" s="20" t="str">
        <f>IF('Bill Master List'!F18="Yes",'Bill Master List'!D18,"")</f>
        <v/>
      </c>
      <c r="E406" s="64" t="str">
        <f>IF('Bill Master List'!F18="Yes",'Bill Master List'!E18,"")</f>
        <v/>
      </c>
      <c r="F406" s="17" t="str">
        <f>IF('Bill Master List'!F18="Yes",'Bill Master List'!G18,"")</f>
        <v/>
      </c>
      <c r="G406" s="64" t="str">
        <f>IF('Bill Master List'!F18="Yes",'Bill Master List'!H18,"")</f>
        <v/>
      </c>
      <c r="H406" s="19" t="str">
        <f>IF('Bill Master List'!F18="Yes",'Bill Master List'!I18,"")</f>
        <v/>
      </c>
    </row>
    <row r="407" spans="1:8" x14ac:dyDescent="0.3">
      <c r="A407" s="20" t="str">
        <f>IF('Bill Master List'!F19="Yes",'Bill Master List'!A19,"")</f>
        <v/>
      </c>
      <c r="B407" s="17" t="str">
        <f>IF('Bill Master List'!F19="Yes",'Bill Master List'!B19,"")</f>
        <v/>
      </c>
      <c r="C407" s="20" t="str">
        <f>IF('Bill Master List'!F19="Yes",'Bill Master List'!C19,"")</f>
        <v/>
      </c>
      <c r="D407" s="20" t="str">
        <f>IF('Bill Master List'!F19="Yes",'Bill Master List'!D19,"")</f>
        <v/>
      </c>
      <c r="E407" s="64" t="str">
        <f>IF('Bill Master List'!F19="Yes",'Bill Master List'!E19,"")</f>
        <v/>
      </c>
      <c r="F407" s="17" t="str">
        <f>IF('Bill Master List'!F19="Yes",'Bill Master List'!G19,"")</f>
        <v/>
      </c>
      <c r="G407" s="64" t="str">
        <f>IF('Bill Master List'!F19="Yes",'Bill Master List'!H19,"")</f>
        <v/>
      </c>
      <c r="H407" s="19" t="str">
        <f>IF('Bill Master List'!F19="Yes",'Bill Master List'!I19,"")</f>
        <v/>
      </c>
    </row>
    <row r="408" spans="1:8" x14ac:dyDescent="0.3">
      <c r="A408" s="20" t="str">
        <f>IF('Bill Master List'!F20="Yes",'Bill Master List'!A20,"")</f>
        <v/>
      </c>
      <c r="B408" s="17" t="str">
        <f>IF('Bill Master List'!F20="Yes",'Bill Master List'!B20,"")</f>
        <v/>
      </c>
      <c r="C408" s="20" t="str">
        <f>IF('Bill Master List'!F20="Yes",'Bill Master List'!C20,"")</f>
        <v/>
      </c>
      <c r="D408" s="20" t="str">
        <f>IF('Bill Master List'!F20="Yes",'Bill Master List'!D20,"")</f>
        <v/>
      </c>
      <c r="E408" s="64" t="str">
        <f>IF('Bill Master List'!F20="Yes",'Bill Master List'!E20,"")</f>
        <v/>
      </c>
      <c r="F408" s="17" t="str">
        <f>IF('Bill Master List'!F20="Yes",'Bill Master List'!G20,"")</f>
        <v/>
      </c>
      <c r="G408" s="64" t="str">
        <f>IF('Bill Master List'!F20="Yes",'Bill Master List'!H20,"")</f>
        <v/>
      </c>
      <c r="H408" s="19" t="str">
        <f>IF('Bill Master List'!F20="Yes",'Bill Master List'!I20,"")</f>
        <v/>
      </c>
    </row>
    <row r="409" spans="1:8" x14ac:dyDescent="0.3">
      <c r="A409" s="20" t="str">
        <f>IF('Bill Master List'!F21="Yes",'Bill Master List'!A21,"")</f>
        <v/>
      </c>
      <c r="B409" s="17" t="str">
        <f>IF('Bill Master List'!F21="Yes",'Bill Master List'!B21,"")</f>
        <v/>
      </c>
      <c r="C409" s="20" t="str">
        <f>IF('Bill Master List'!F21="Yes",'Bill Master List'!C21,"")</f>
        <v/>
      </c>
      <c r="D409" s="20" t="str">
        <f>IF('Bill Master List'!F21="Yes",'Bill Master List'!D21,"")</f>
        <v/>
      </c>
      <c r="E409" s="64" t="str">
        <f>IF('Bill Master List'!F21="Yes",'Bill Master List'!E21,"")</f>
        <v/>
      </c>
      <c r="F409" s="17" t="str">
        <f>IF('Bill Master List'!F21="Yes",'Bill Master List'!G21,"")</f>
        <v/>
      </c>
      <c r="G409" s="64" t="str">
        <f>IF('Bill Master List'!F21="Yes",'Bill Master List'!H21,"")</f>
        <v/>
      </c>
      <c r="H409" s="19" t="str">
        <f>IF('Bill Master List'!F21="Yes",'Bill Master List'!I21,"")</f>
        <v/>
      </c>
    </row>
    <row r="410" spans="1:8" x14ac:dyDescent="0.3">
      <c r="A410" s="20" t="str">
        <f>IF('Bill Master List'!F22="Yes",'Bill Master List'!A22,"")</f>
        <v/>
      </c>
      <c r="B410" s="17" t="str">
        <f>IF('Bill Master List'!F22="Yes",'Bill Master List'!B22,"")</f>
        <v/>
      </c>
      <c r="C410" s="20" t="str">
        <f>IF('Bill Master List'!F22="Yes",'Bill Master List'!C22,"")</f>
        <v/>
      </c>
      <c r="D410" s="20" t="str">
        <f>IF('Bill Master List'!F22="Yes",'Bill Master List'!D22,"")</f>
        <v/>
      </c>
      <c r="E410" s="64" t="str">
        <f>IF('Bill Master List'!F22="Yes",'Bill Master List'!E22,"")</f>
        <v/>
      </c>
      <c r="F410" s="17" t="str">
        <f>IF('Bill Master List'!F22="Yes",'Bill Master List'!G22,"")</f>
        <v/>
      </c>
      <c r="G410" s="64" t="str">
        <f>IF('Bill Master List'!F22="Yes",'Bill Master List'!H22,"")</f>
        <v/>
      </c>
      <c r="H410" s="19" t="str">
        <f>IF('Bill Master List'!F22="Yes",'Bill Master List'!I22,"")</f>
        <v/>
      </c>
    </row>
    <row r="411" spans="1:8" x14ac:dyDescent="0.3">
      <c r="A411" s="20" t="str">
        <f>IF('Bill Master List'!F23="Yes",'Bill Master List'!A23,"")</f>
        <v/>
      </c>
      <c r="B411" s="17" t="str">
        <f>IF('Bill Master List'!F23="Yes",'Bill Master List'!B23,"")</f>
        <v/>
      </c>
      <c r="C411" s="20" t="str">
        <f>IF('Bill Master List'!F23="Yes",'Bill Master List'!C23,"")</f>
        <v/>
      </c>
      <c r="D411" s="20" t="str">
        <f>IF('Bill Master List'!F23="Yes",'Bill Master List'!D23,"")</f>
        <v/>
      </c>
      <c r="E411" s="64" t="str">
        <f>IF('Bill Master List'!F23="Yes",'Bill Master List'!E23,"")</f>
        <v/>
      </c>
      <c r="F411" s="17" t="str">
        <f>IF('Bill Master List'!F23="Yes",'Bill Master List'!G23,"")</f>
        <v/>
      </c>
      <c r="G411" s="64" t="str">
        <f>IF('Bill Master List'!F23="Yes",'Bill Master List'!H23,"")</f>
        <v/>
      </c>
      <c r="H411" s="19" t="str">
        <f>IF('Bill Master List'!F23="Yes",'Bill Master List'!I23,"")</f>
        <v/>
      </c>
    </row>
    <row r="412" spans="1:8" x14ac:dyDescent="0.3">
      <c r="A412" s="20" t="str">
        <f>IF('Bill Master List'!F24="Yes",'Bill Master List'!A24,"")</f>
        <v/>
      </c>
      <c r="B412" s="17" t="str">
        <f>IF('Bill Master List'!F24="Yes",'Bill Master List'!B24,"")</f>
        <v/>
      </c>
      <c r="C412" s="20" t="str">
        <f>IF('Bill Master List'!F24="Yes",'Bill Master List'!C24,"")</f>
        <v/>
      </c>
      <c r="D412" s="20" t="str">
        <f>IF('Bill Master List'!F24="Yes",'Bill Master List'!D24,"")</f>
        <v/>
      </c>
      <c r="E412" s="64" t="str">
        <f>IF('Bill Master List'!F24="Yes",'Bill Master List'!E24,"")</f>
        <v/>
      </c>
      <c r="F412" s="17" t="str">
        <f>IF('Bill Master List'!F24="Yes",'Bill Master List'!G24,"")</f>
        <v/>
      </c>
      <c r="G412" s="64" t="str">
        <f>IF('Bill Master List'!F24="Yes",'Bill Master List'!H24,"")</f>
        <v/>
      </c>
      <c r="H412" s="19" t="str">
        <f>IF('Bill Master List'!F24="Yes",'Bill Master List'!I24,"")</f>
        <v/>
      </c>
    </row>
    <row r="413" spans="1:8" x14ac:dyDescent="0.3">
      <c r="A413" s="20" t="str">
        <f>IF('Bill Master List'!F25="Yes",'Bill Master List'!A25,"")</f>
        <v/>
      </c>
      <c r="B413" s="17" t="str">
        <f>IF('Bill Master List'!F25="Yes",'Bill Master List'!B25,"")</f>
        <v/>
      </c>
      <c r="C413" s="20" t="str">
        <f>IF('Bill Master List'!F25="Yes",'Bill Master List'!C25,"")</f>
        <v/>
      </c>
      <c r="D413" s="20" t="str">
        <f>IF('Bill Master List'!F25="Yes",'Bill Master List'!D25,"")</f>
        <v/>
      </c>
      <c r="E413" s="64" t="str">
        <f>IF('Bill Master List'!F25="Yes",'Bill Master List'!E25,"")</f>
        <v/>
      </c>
      <c r="F413" s="17" t="str">
        <f>IF('Bill Master List'!F25="Yes",'Bill Master List'!G25,"")</f>
        <v/>
      </c>
      <c r="G413" s="64" t="str">
        <f>IF('Bill Master List'!F25="Yes",'Bill Master List'!H25,"")</f>
        <v/>
      </c>
      <c r="H413" s="19" t="str">
        <f>IF('Bill Master List'!F25="Yes",'Bill Master List'!I25,"")</f>
        <v/>
      </c>
    </row>
    <row r="414" spans="1:8" x14ac:dyDescent="0.3">
      <c r="A414" s="20" t="str">
        <f>IF('Bill Master List'!F26="Yes",'Bill Master List'!A26,"")</f>
        <v/>
      </c>
      <c r="B414" s="17" t="str">
        <f>IF('Bill Master List'!F26="Yes",'Bill Master List'!B26,"")</f>
        <v/>
      </c>
      <c r="C414" s="20" t="str">
        <f>IF('Bill Master List'!F26="Yes",'Bill Master List'!C26,"")</f>
        <v/>
      </c>
      <c r="D414" s="20" t="str">
        <f>IF('Bill Master List'!F26="Yes",'Bill Master List'!D26,"")</f>
        <v/>
      </c>
      <c r="E414" s="64" t="str">
        <f>IF('Bill Master List'!F26="Yes",'Bill Master List'!E26,"")</f>
        <v/>
      </c>
      <c r="F414" s="17" t="str">
        <f>IF('Bill Master List'!F26="Yes",'Bill Master List'!G26,"")</f>
        <v/>
      </c>
      <c r="G414" s="64" t="str">
        <f>IF('Bill Master List'!F26="Yes",'Bill Master List'!H26,"")</f>
        <v/>
      </c>
      <c r="H414" s="19" t="str">
        <f>IF('Bill Master List'!F26="Yes",'Bill Master List'!I26,"")</f>
        <v/>
      </c>
    </row>
    <row r="415" spans="1:8" x14ac:dyDescent="0.3">
      <c r="A415" s="20" t="str">
        <f>IF('Bill Master List'!F27="Yes",'Bill Master List'!A27,"")</f>
        <v/>
      </c>
      <c r="B415" s="17" t="str">
        <f>IF('Bill Master List'!F27="Yes",'Bill Master List'!B27,"")</f>
        <v/>
      </c>
      <c r="C415" s="20" t="str">
        <f>IF('Bill Master List'!F27="Yes",'Bill Master List'!C27,"")</f>
        <v/>
      </c>
      <c r="D415" s="20" t="str">
        <f>IF('Bill Master List'!F27="Yes",'Bill Master List'!D27,"")</f>
        <v/>
      </c>
      <c r="E415" s="64" t="str">
        <f>IF('Bill Master List'!F27="Yes",'Bill Master List'!E27,"")</f>
        <v/>
      </c>
      <c r="F415" s="17" t="str">
        <f>IF('Bill Master List'!F27="Yes",'Bill Master List'!G27,"")</f>
        <v/>
      </c>
      <c r="G415" s="64" t="str">
        <f>IF('Bill Master List'!F27="Yes",'Bill Master List'!H27,"")</f>
        <v/>
      </c>
      <c r="H415" s="19" t="str">
        <f>IF('Bill Master List'!F27="Yes",'Bill Master List'!I27,"")</f>
        <v/>
      </c>
    </row>
    <row r="416" spans="1:8" x14ac:dyDescent="0.3">
      <c r="A416" s="20" t="str">
        <f>IF('Bill Master List'!F28="Yes",'Bill Master List'!A28,"")</f>
        <v/>
      </c>
      <c r="B416" s="17" t="str">
        <f>IF('Bill Master List'!F28="Yes",'Bill Master List'!B28,"")</f>
        <v/>
      </c>
      <c r="C416" s="20" t="str">
        <f>IF('Bill Master List'!F28="Yes",'Bill Master List'!C28,"")</f>
        <v/>
      </c>
      <c r="D416" s="20" t="str">
        <f>IF('Bill Master List'!F28="Yes",'Bill Master List'!D28,"")</f>
        <v/>
      </c>
      <c r="E416" s="64" t="str">
        <f>IF('Bill Master List'!F28="Yes",'Bill Master List'!E28,"")</f>
        <v/>
      </c>
      <c r="F416" s="17" t="str">
        <f>IF('Bill Master List'!F28="Yes",'Bill Master List'!G28,"")</f>
        <v/>
      </c>
      <c r="G416" s="64" t="str">
        <f>IF('Bill Master List'!F28="Yes",'Bill Master List'!H28,"")</f>
        <v/>
      </c>
      <c r="H416" s="19" t="str">
        <f>IF('Bill Master List'!F28="Yes",'Bill Master List'!I28,"")</f>
        <v/>
      </c>
    </row>
    <row r="417" spans="1:8" x14ac:dyDescent="0.3">
      <c r="A417" s="20" t="str">
        <f>IF('Bill Master List'!F29="Yes",'Bill Master List'!A29,"")</f>
        <v/>
      </c>
      <c r="B417" s="17" t="str">
        <f>IF('Bill Master List'!F29="Yes",'Bill Master List'!B29,"")</f>
        <v/>
      </c>
      <c r="C417" s="20" t="str">
        <f>IF('Bill Master List'!F29="Yes",'Bill Master List'!C29,"")</f>
        <v/>
      </c>
      <c r="D417" s="20" t="str">
        <f>IF('Bill Master List'!F29="Yes",'Bill Master List'!D29,"")</f>
        <v/>
      </c>
      <c r="E417" s="64" t="str">
        <f>IF('Bill Master List'!F29="Yes",'Bill Master List'!E29,"")</f>
        <v/>
      </c>
      <c r="F417" s="17" t="str">
        <f>IF('Bill Master List'!F29="Yes",'Bill Master List'!G29,"")</f>
        <v/>
      </c>
      <c r="G417" s="64" t="str">
        <f>IF('Bill Master List'!F29="Yes",'Bill Master List'!H29,"")</f>
        <v/>
      </c>
      <c r="H417" s="19" t="str">
        <f>IF('Bill Master List'!F29="Yes",'Bill Master List'!I29,"")</f>
        <v/>
      </c>
    </row>
    <row r="418" spans="1:8" x14ac:dyDescent="0.3">
      <c r="A418" s="20" t="str">
        <f>IF('Bill Master List'!F30="Yes",'Bill Master List'!A30,"")</f>
        <v/>
      </c>
      <c r="B418" s="17" t="str">
        <f>IF('Bill Master List'!F30="Yes",'Bill Master List'!B30,"")</f>
        <v/>
      </c>
      <c r="C418" s="20" t="str">
        <f>IF('Bill Master List'!F30="Yes",'Bill Master List'!C30,"")</f>
        <v/>
      </c>
      <c r="D418" s="20" t="str">
        <f>IF('Bill Master List'!F30="Yes",'Bill Master List'!D30,"")</f>
        <v/>
      </c>
      <c r="E418" s="64" t="str">
        <f>IF('Bill Master List'!F30="Yes",'Bill Master List'!E30,"")</f>
        <v/>
      </c>
      <c r="F418" s="17" t="str">
        <f>IF('Bill Master List'!F30="Yes",'Bill Master List'!G30,"")</f>
        <v/>
      </c>
      <c r="G418" s="64" t="str">
        <f>IF('Bill Master List'!F30="Yes",'Bill Master List'!H30,"")</f>
        <v/>
      </c>
      <c r="H418" s="19" t="str">
        <f>IF('Bill Master List'!F30="Yes",'Bill Master List'!I30,"")</f>
        <v/>
      </c>
    </row>
    <row r="419" spans="1:8" x14ac:dyDescent="0.3">
      <c r="A419" s="20" t="str">
        <f>IF('Bill Master List'!F31="Yes",'Bill Master List'!A31,"")</f>
        <v/>
      </c>
      <c r="B419" s="17" t="str">
        <f>IF('Bill Master List'!F31="Yes",'Bill Master List'!B31,"")</f>
        <v/>
      </c>
      <c r="C419" s="20" t="str">
        <f>IF('Bill Master List'!F31="Yes",'Bill Master List'!C31,"")</f>
        <v/>
      </c>
      <c r="D419" s="20" t="str">
        <f>IF('Bill Master List'!F31="Yes",'Bill Master List'!D31,"")</f>
        <v/>
      </c>
      <c r="E419" s="64" t="str">
        <f>IF('Bill Master List'!F31="Yes",'Bill Master List'!E31,"")</f>
        <v/>
      </c>
      <c r="F419" s="17" t="str">
        <f>IF('Bill Master List'!F31="Yes",'Bill Master List'!G31,"")</f>
        <v/>
      </c>
      <c r="G419" s="64" t="str">
        <f>IF('Bill Master List'!F31="Yes",'Bill Master List'!H31,"")</f>
        <v/>
      </c>
      <c r="H419" s="19" t="str">
        <f>IF('Bill Master List'!F31="Yes",'Bill Master List'!I31,"")</f>
        <v/>
      </c>
    </row>
    <row r="420" spans="1:8" x14ac:dyDescent="0.3">
      <c r="A420" s="20" t="str">
        <f>IF('Bill Master List'!F32="Yes",'Bill Master List'!A32,"")</f>
        <v/>
      </c>
      <c r="B420" s="17" t="str">
        <f>IF('Bill Master List'!F32="Yes",'Bill Master List'!B32,"")</f>
        <v/>
      </c>
      <c r="C420" s="20" t="str">
        <f>IF('Bill Master List'!F32="Yes",'Bill Master List'!C32,"")</f>
        <v/>
      </c>
      <c r="D420" s="20" t="str">
        <f>IF('Bill Master List'!F32="Yes",'Bill Master List'!D32,"")</f>
        <v/>
      </c>
      <c r="E420" s="64" t="str">
        <f>IF('Bill Master List'!F32="Yes",'Bill Master List'!E32,"")</f>
        <v/>
      </c>
      <c r="F420" s="17" t="str">
        <f>IF('Bill Master List'!F32="Yes",'Bill Master List'!G32,"")</f>
        <v/>
      </c>
      <c r="G420" s="64" t="str">
        <f>IF('Bill Master List'!F32="Yes",'Bill Master List'!H32,"")</f>
        <v/>
      </c>
      <c r="H420" s="19" t="str">
        <f>IF('Bill Master List'!F32="Yes",'Bill Master List'!I32,"")</f>
        <v/>
      </c>
    </row>
    <row r="421" spans="1:8" x14ac:dyDescent="0.3">
      <c r="A421" s="22" t="s">
        <v>172</v>
      </c>
      <c r="B421" s="23" t="s">
        <v>173</v>
      </c>
      <c r="C421" s="23" t="s">
        <v>174</v>
      </c>
      <c r="D421" s="23" t="s">
        <v>175</v>
      </c>
      <c r="E421" s="68" t="s">
        <v>176</v>
      </c>
      <c r="F421" s="23" t="s">
        <v>177</v>
      </c>
      <c r="G421" s="65" t="s">
        <v>178</v>
      </c>
      <c r="H421" s="24" t="s">
        <v>179</v>
      </c>
    </row>
    <row r="422" spans="1:8" x14ac:dyDescent="0.3">
      <c r="B422" s="25">
        <f>SUMIF(D391:D420,"Card1",B391:B420)</f>
        <v>587</v>
      </c>
      <c r="C422" s="25">
        <f>SUMIF(D391:D420,"Card2",B391:B420)</f>
        <v>398</v>
      </c>
      <c r="D422" s="25">
        <f>SUMIF(D391:D420,"Card3",B391:B420)</f>
        <v>1265</v>
      </c>
      <c r="E422" s="69">
        <f>SUMIF(D391:D420,"Card4",B391:B420)</f>
        <v>200</v>
      </c>
      <c r="F422" s="25">
        <f>SUMIF(D391:D420,"Card5",B391:B420)</f>
        <v>630</v>
      </c>
      <c r="G422" s="66">
        <f>SUM(B391:B420)</f>
        <v>3080</v>
      </c>
      <c r="H422" s="26">
        <f>SUM(F391:F420)</f>
        <v>249</v>
      </c>
    </row>
  </sheetData>
  <mergeCells count="14">
    <mergeCell ref="A1:H1"/>
    <mergeCell ref="A249:H249"/>
    <mergeCell ref="A74:H74"/>
    <mergeCell ref="A214:H214"/>
    <mergeCell ref="A389:H389"/>
    <mergeCell ref="A319:H319"/>
    <mergeCell ref="A2:H2"/>
    <mergeCell ref="A284:H284"/>
    <mergeCell ref="A354:H354"/>
    <mergeCell ref="A4:H4"/>
    <mergeCell ref="A144:H144"/>
    <mergeCell ref="A39:H39"/>
    <mergeCell ref="A109:H109"/>
    <mergeCell ref="A179:H17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5"/>
  <sheetViews>
    <sheetView workbookViewId="0">
      <selection activeCell="B27" sqref="B27"/>
    </sheetView>
  </sheetViews>
  <sheetFormatPr defaultRowHeight="14.4" x14ac:dyDescent="0.3"/>
  <cols>
    <col min="1" max="1" width="10" customWidth="1"/>
    <col min="2" max="2" width="18" customWidth="1"/>
    <col min="3" max="3" width="14" customWidth="1"/>
    <col min="4" max="4" width="12" customWidth="1"/>
    <col min="5" max="5" width="14" customWidth="1"/>
    <col min="6" max="7" width="12" customWidth="1"/>
    <col min="8" max="8" width="13" customWidth="1"/>
    <col min="9" max="9" width="10" customWidth="1"/>
    <col min="10" max="10" width="22" customWidth="1"/>
  </cols>
  <sheetData>
    <row r="1" spans="1:10" ht="21" customHeight="1" x14ac:dyDescent="0.4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3">
      <c r="A2" s="87" t="s">
        <v>1</v>
      </c>
      <c r="B2" s="86"/>
      <c r="C2" s="86"/>
      <c r="D2" s="86"/>
      <c r="E2" s="86"/>
      <c r="F2" s="86"/>
      <c r="G2" s="86"/>
      <c r="H2" s="86"/>
      <c r="I2" s="86"/>
      <c r="J2" s="86"/>
    </row>
    <row r="4" spans="1:10" x14ac:dyDescent="0.3">
      <c r="A4" s="88" t="s">
        <v>2</v>
      </c>
      <c r="B4" s="86"/>
      <c r="C4" s="86"/>
      <c r="D4" s="86"/>
      <c r="E4" s="86"/>
      <c r="F4" s="86"/>
      <c r="G4" s="86"/>
      <c r="H4" s="86"/>
      <c r="I4" s="86"/>
      <c r="J4" s="86"/>
    </row>
    <row r="5" spans="1:10" ht="27.6" customHeight="1" x14ac:dyDescent="0.3">
      <c r="A5" s="82" t="s">
        <v>3</v>
      </c>
      <c r="B5" s="82" t="s">
        <v>4</v>
      </c>
      <c r="C5" s="82" t="s">
        <v>5</v>
      </c>
      <c r="D5" s="82" t="s">
        <v>6</v>
      </c>
      <c r="E5" s="82" t="s">
        <v>7</v>
      </c>
      <c r="F5" s="82" t="s">
        <v>8</v>
      </c>
      <c r="G5" s="82" t="s">
        <v>9</v>
      </c>
      <c r="H5" s="82" t="s">
        <v>10</v>
      </c>
      <c r="I5" s="82" t="s">
        <v>11</v>
      </c>
      <c r="J5" s="82" t="s">
        <v>12</v>
      </c>
    </row>
    <row r="6" spans="1:10" x14ac:dyDescent="0.3">
      <c r="A6" s="20" t="str">
        <f>'Credit Cards'!A3</f>
        <v>Card1</v>
      </c>
      <c r="B6" s="20" t="str">
        <f>'Credit Cards'!B3</f>
        <v>Navy Federal Card</v>
      </c>
      <c r="C6" s="17">
        <f>'Credit Cards'!M3</f>
        <v>1500.1</v>
      </c>
      <c r="D6" s="17">
        <f>'Credit Cards'!C3</f>
        <v>1500</v>
      </c>
      <c r="E6" s="17">
        <f t="shared" ref="E6:E20" si="0">D6-C6</f>
        <v>-9.9999999999909051E-2</v>
      </c>
      <c r="F6" s="27">
        <f t="shared" ref="F6:F20" si="1">IF(D6&gt;0,C6/D6,0)</f>
        <v>1.0000666666666667</v>
      </c>
      <c r="G6" s="18" t="str">
        <f t="shared" ref="G6:G20" si="2">IF(F6=0,"Inactive",IF(F6&lt;0.1,"✓ SAFE",IF(F6&lt;0.3,"⚠ Warning",IF(F6&lt;0.5,"🔶 CAUTION","🚨 DANGER"))))</f>
        <v>🚨 DANGER</v>
      </c>
      <c r="H6" s="17">
        <f>SUMIF('Bill Master List'!D:D,"Card1",'Bill Master List'!B:B)</f>
        <v>587</v>
      </c>
      <c r="I6" s="18">
        <f t="shared" ref="I6:I20" si="3">IF(F6&lt;0.1,1,IF(F6&lt;0.3,2,IF(F6&lt;0.5,3,4)))</f>
        <v>4</v>
      </c>
      <c r="J6" s="19" t="str">
        <f t="shared" ref="J6:J20" si="4">IF(F6=0,"N/A",IF(F6&lt;0.1,"None - Keep it up!",IF(F6&lt;0.3,"Consider paying down",IF(F6&lt;0.5,"PAY DOWN ASAP!","CRITICAL - Pay immediately!"))))</f>
        <v>CRITICAL - Pay immediately!</v>
      </c>
    </row>
    <row r="7" spans="1:10" x14ac:dyDescent="0.3">
      <c r="A7" s="20" t="str">
        <f>'Credit Cards'!A4</f>
        <v>Card2</v>
      </c>
      <c r="B7" s="20" t="str">
        <f>'Credit Cards'!B4</f>
        <v>Indigo 3069</v>
      </c>
      <c r="C7" s="17">
        <f>'Credit Cards'!M4</f>
        <v>632.80999999999995</v>
      </c>
      <c r="D7" s="17">
        <f>'Credit Cards'!C4</f>
        <v>500</v>
      </c>
      <c r="E7" s="17">
        <f t="shared" si="0"/>
        <v>-132.80999999999995</v>
      </c>
      <c r="F7" s="27">
        <f t="shared" si="1"/>
        <v>1.26562</v>
      </c>
      <c r="G7" s="18" t="str">
        <f t="shared" si="2"/>
        <v>🚨 DANGER</v>
      </c>
      <c r="H7" s="17">
        <f>SUMIF('Bill Master List'!D:D,"Card2",'Bill Master List'!B:B)</f>
        <v>398</v>
      </c>
      <c r="I7" s="18">
        <f t="shared" si="3"/>
        <v>4</v>
      </c>
      <c r="J7" s="19" t="str">
        <f t="shared" si="4"/>
        <v>CRITICAL - Pay immediately!</v>
      </c>
    </row>
    <row r="8" spans="1:10" x14ac:dyDescent="0.3">
      <c r="A8" s="20" t="str">
        <f>'Credit Cards'!A5</f>
        <v>Card3</v>
      </c>
      <c r="B8" s="20" t="str">
        <f>'Credit Cards'!B5</f>
        <v>Indigo 1448</v>
      </c>
      <c r="C8" s="17">
        <f>'Credit Cards'!M5</f>
        <v>547.97</v>
      </c>
      <c r="D8" s="17">
        <f>'Credit Cards'!C5</f>
        <v>1000</v>
      </c>
      <c r="E8" s="17">
        <f t="shared" si="0"/>
        <v>452.03</v>
      </c>
      <c r="F8" s="27">
        <f t="shared" si="1"/>
        <v>0.54797000000000007</v>
      </c>
      <c r="G8" s="18" t="str">
        <f t="shared" si="2"/>
        <v>🚨 DANGER</v>
      </c>
      <c r="H8" s="17">
        <f>SUMIF('Bill Master List'!D:D,"Card3",'Bill Master List'!B:B)</f>
        <v>1265</v>
      </c>
      <c r="I8" s="18">
        <f t="shared" si="3"/>
        <v>4</v>
      </c>
      <c r="J8" s="19" t="str">
        <f t="shared" si="4"/>
        <v>CRITICAL - Pay immediately!</v>
      </c>
    </row>
    <row r="9" spans="1:10" x14ac:dyDescent="0.3">
      <c r="A9" s="20" t="str">
        <f>'Credit Cards'!A6</f>
        <v>Card4</v>
      </c>
      <c r="B9" s="20" t="str">
        <f>'Credit Cards'!B6</f>
        <v xml:space="preserve">Milestone 5093 </v>
      </c>
      <c r="C9" s="17">
        <f>'Credit Cards'!M6</f>
        <v>489.81</v>
      </c>
      <c r="D9" s="17">
        <f>'Credit Cards'!C6</f>
        <v>500</v>
      </c>
      <c r="E9" s="17">
        <f t="shared" si="0"/>
        <v>10.189999999999998</v>
      </c>
      <c r="F9" s="27">
        <f t="shared" si="1"/>
        <v>0.97962000000000005</v>
      </c>
      <c r="G9" s="18" t="str">
        <f t="shared" si="2"/>
        <v>🚨 DANGER</v>
      </c>
      <c r="H9" s="17">
        <f>SUMIF('Bill Master List'!D:D,"Card4",'Bill Master List'!B:B)</f>
        <v>200</v>
      </c>
      <c r="I9" s="18">
        <f t="shared" si="3"/>
        <v>4</v>
      </c>
      <c r="J9" s="19" t="str">
        <f t="shared" si="4"/>
        <v>CRITICAL - Pay immediately!</v>
      </c>
    </row>
    <row r="10" spans="1:10" x14ac:dyDescent="0.3">
      <c r="A10" s="20" t="str">
        <f>'Credit Cards'!A7</f>
        <v>Card5</v>
      </c>
      <c r="B10" s="20" t="str">
        <f>'Credit Cards'!B7</f>
        <v>Destiny 3992</v>
      </c>
      <c r="C10" s="17">
        <f>'Credit Cards'!M7</f>
        <v>958.34</v>
      </c>
      <c r="D10" s="17">
        <f>'Credit Cards'!C7</f>
        <v>1000</v>
      </c>
      <c r="E10" s="17">
        <f t="shared" si="0"/>
        <v>41.659999999999968</v>
      </c>
      <c r="F10" s="27">
        <f t="shared" si="1"/>
        <v>0.95834000000000008</v>
      </c>
      <c r="G10" s="18" t="str">
        <f t="shared" si="2"/>
        <v>🚨 DANGER</v>
      </c>
      <c r="H10" s="17">
        <f>SUMIF('Bill Master List'!D:D,"Card5",'Bill Master List'!B:B)</f>
        <v>630</v>
      </c>
      <c r="I10" s="18">
        <f t="shared" si="3"/>
        <v>4</v>
      </c>
      <c r="J10" s="19" t="str">
        <f t="shared" si="4"/>
        <v>CRITICAL - Pay immediately!</v>
      </c>
    </row>
    <row r="11" spans="1:10" x14ac:dyDescent="0.3">
      <c r="A11" s="20" t="str">
        <f>'Credit Cards'!A8</f>
        <v>Card6</v>
      </c>
      <c r="B11" s="20">
        <f>'Credit Cards'!B8</f>
        <v>0</v>
      </c>
      <c r="C11" s="17">
        <f>'Credit Cards'!M8</f>
        <v>0</v>
      </c>
      <c r="D11" s="17">
        <f>'Credit Cards'!C8</f>
        <v>0</v>
      </c>
      <c r="E11" s="17">
        <f t="shared" si="0"/>
        <v>0</v>
      </c>
      <c r="F11" s="27">
        <f t="shared" si="1"/>
        <v>0</v>
      </c>
      <c r="G11" s="18" t="str">
        <f t="shared" si="2"/>
        <v>Inactive</v>
      </c>
      <c r="H11" s="17">
        <f>SUMIF('Bill Master List'!D:D,"Card6",'Bill Master List'!B:B)</f>
        <v>0</v>
      </c>
      <c r="I11" s="18">
        <f t="shared" si="3"/>
        <v>1</v>
      </c>
      <c r="J11" s="19" t="str">
        <f t="shared" si="4"/>
        <v>N/A</v>
      </c>
    </row>
    <row r="12" spans="1:10" x14ac:dyDescent="0.3">
      <c r="A12" s="20" t="str">
        <f>'Credit Cards'!A9</f>
        <v>Card7</v>
      </c>
      <c r="B12" s="20">
        <f>'Credit Cards'!B9</f>
        <v>0</v>
      </c>
      <c r="C12" s="17">
        <f>'Credit Cards'!M9</f>
        <v>0</v>
      </c>
      <c r="D12" s="17">
        <f>'Credit Cards'!C9</f>
        <v>0</v>
      </c>
      <c r="E12" s="17">
        <f t="shared" si="0"/>
        <v>0</v>
      </c>
      <c r="F12" s="27">
        <f t="shared" si="1"/>
        <v>0</v>
      </c>
      <c r="G12" s="18" t="str">
        <f t="shared" si="2"/>
        <v>Inactive</v>
      </c>
      <c r="H12" s="17">
        <f>SUMIF('Bill Master List'!D:D,"Card7",'Bill Master List'!B:B)</f>
        <v>0</v>
      </c>
      <c r="I12" s="18">
        <f t="shared" si="3"/>
        <v>1</v>
      </c>
      <c r="J12" s="19" t="str">
        <f t="shared" si="4"/>
        <v>N/A</v>
      </c>
    </row>
    <row r="13" spans="1:10" x14ac:dyDescent="0.3">
      <c r="A13" s="20" t="str">
        <f>'Credit Cards'!A10</f>
        <v>Card8</v>
      </c>
      <c r="B13" s="20">
        <f>'Credit Cards'!B10</f>
        <v>0</v>
      </c>
      <c r="C13" s="17">
        <f>'Credit Cards'!M10</f>
        <v>0</v>
      </c>
      <c r="D13" s="17">
        <f>'Credit Cards'!C10</f>
        <v>0</v>
      </c>
      <c r="E13" s="17">
        <f t="shared" si="0"/>
        <v>0</v>
      </c>
      <c r="F13" s="27">
        <f t="shared" si="1"/>
        <v>0</v>
      </c>
      <c r="G13" s="18" t="str">
        <f t="shared" si="2"/>
        <v>Inactive</v>
      </c>
      <c r="H13" s="17">
        <f>SUMIF('Bill Master List'!D:D,"Card8",'Bill Master List'!B:B)</f>
        <v>0</v>
      </c>
      <c r="I13" s="18">
        <f t="shared" si="3"/>
        <v>1</v>
      </c>
      <c r="J13" s="19" t="str">
        <f t="shared" si="4"/>
        <v>N/A</v>
      </c>
    </row>
    <row r="14" spans="1:10" x14ac:dyDescent="0.3">
      <c r="A14" s="20" t="str">
        <f>'Credit Cards'!A11</f>
        <v>Card9</v>
      </c>
      <c r="B14" s="20">
        <f>'Credit Cards'!B11</f>
        <v>0</v>
      </c>
      <c r="C14" s="17">
        <f>'Credit Cards'!M11</f>
        <v>0</v>
      </c>
      <c r="D14" s="17">
        <f>'Credit Cards'!C11</f>
        <v>0</v>
      </c>
      <c r="E14" s="17">
        <f t="shared" si="0"/>
        <v>0</v>
      </c>
      <c r="F14" s="27">
        <f t="shared" si="1"/>
        <v>0</v>
      </c>
      <c r="G14" s="18" t="str">
        <f t="shared" si="2"/>
        <v>Inactive</v>
      </c>
      <c r="H14" s="17">
        <f>SUMIF('Bill Master List'!D:D,"Card9",'Bill Master List'!B:B)</f>
        <v>0</v>
      </c>
      <c r="I14" s="18">
        <f t="shared" si="3"/>
        <v>1</v>
      </c>
      <c r="J14" s="19" t="str">
        <f t="shared" si="4"/>
        <v>N/A</v>
      </c>
    </row>
    <row r="15" spans="1:10" x14ac:dyDescent="0.3">
      <c r="A15" s="20" t="str">
        <f>'Credit Cards'!A12</f>
        <v>Card10</v>
      </c>
      <c r="B15" s="20">
        <f>'Credit Cards'!B12</f>
        <v>0</v>
      </c>
      <c r="C15" s="17">
        <f>'Credit Cards'!M12</f>
        <v>0</v>
      </c>
      <c r="D15" s="17">
        <f>'Credit Cards'!C12</f>
        <v>0</v>
      </c>
      <c r="E15" s="17">
        <f t="shared" si="0"/>
        <v>0</v>
      </c>
      <c r="F15" s="27">
        <f t="shared" si="1"/>
        <v>0</v>
      </c>
      <c r="G15" s="18" t="str">
        <f t="shared" si="2"/>
        <v>Inactive</v>
      </c>
      <c r="H15" s="17">
        <f>SUMIF('Bill Master List'!D:D,"Card10",'Bill Master List'!B:B)</f>
        <v>0</v>
      </c>
      <c r="I15" s="18">
        <f t="shared" si="3"/>
        <v>1</v>
      </c>
      <c r="J15" s="19" t="str">
        <f t="shared" si="4"/>
        <v>N/A</v>
      </c>
    </row>
    <row r="16" spans="1:10" x14ac:dyDescent="0.3">
      <c r="A16" s="20" t="str">
        <f>'Credit Cards'!A13</f>
        <v>Card11</v>
      </c>
      <c r="B16" s="20">
        <f>'Credit Cards'!B13</f>
        <v>0</v>
      </c>
      <c r="C16" s="17">
        <f>'Credit Cards'!M13</f>
        <v>0</v>
      </c>
      <c r="D16" s="17">
        <f>'Credit Cards'!C13</f>
        <v>0</v>
      </c>
      <c r="E16" s="17">
        <f t="shared" si="0"/>
        <v>0</v>
      </c>
      <c r="F16" s="27">
        <f t="shared" si="1"/>
        <v>0</v>
      </c>
      <c r="G16" s="18" t="str">
        <f t="shared" si="2"/>
        <v>Inactive</v>
      </c>
      <c r="H16" s="17">
        <f>SUMIF('Bill Master List'!D:D,"Card11",'Bill Master List'!B:B)</f>
        <v>0</v>
      </c>
      <c r="I16" s="18">
        <f t="shared" si="3"/>
        <v>1</v>
      </c>
      <c r="J16" s="19" t="str">
        <f t="shared" si="4"/>
        <v>N/A</v>
      </c>
    </row>
    <row r="17" spans="1:10" x14ac:dyDescent="0.3">
      <c r="A17" s="20" t="str">
        <f>'Credit Cards'!A14</f>
        <v>Card12</v>
      </c>
      <c r="B17" s="20">
        <f>'Credit Cards'!B14</f>
        <v>0</v>
      </c>
      <c r="C17" s="17">
        <f>'Credit Cards'!M14</f>
        <v>0</v>
      </c>
      <c r="D17" s="17">
        <f>'Credit Cards'!C14</f>
        <v>0</v>
      </c>
      <c r="E17" s="17">
        <f t="shared" si="0"/>
        <v>0</v>
      </c>
      <c r="F17" s="27">
        <f t="shared" si="1"/>
        <v>0</v>
      </c>
      <c r="G17" s="18" t="str">
        <f t="shared" si="2"/>
        <v>Inactive</v>
      </c>
      <c r="H17" s="17">
        <f>SUMIF('Bill Master List'!D:D,"Card12",'Bill Master List'!B:B)</f>
        <v>0</v>
      </c>
      <c r="I17" s="18">
        <f t="shared" si="3"/>
        <v>1</v>
      </c>
      <c r="J17" s="19" t="str">
        <f t="shared" si="4"/>
        <v>N/A</v>
      </c>
    </row>
    <row r="18" spans="1:10" x14ac:dyDescent="0.3">
      <c r="A18" s="20" t="str">
        <f>'Credit Cards'!A15</f>
        <v>Card13</v>
      </c>
      <c r="B18" s="20">
        <f>'Credit Cards'!B15</f>
        <v>0</v>
      </c>
      <c r="C18" s="17">
        <f>'Credit Cards'!M15</f>
        <v>0</v>
      </c>
      <c r="D18" s="17">
        <f>'Credit Cards'!C15</f>
        <v>0</v>
      </c>
      <c r="E18" s="17">
        <f t="shared" si="0"/>
        <v>0</v>
      </c>
      <c r="F18" s="27">
        <f t="shared" si="1"/>
        <v>0</v>
      </c>
      <c r="G18" s="18" t="str">
        <f t="shared" si="2"/>
        <v>Inactive</v>
      </c>
      <c r="H18" s="17">
        <f>SUMIF('Bill Master List'!D:D,"Card13",'Bill Master List'!B:B)</f>
        <v>0</v>
      </c>
      <c r="I18" s="18">
        <f t="shared" si="3"/>
        <v>1</v>
      </c>
      <c r="J18" s="19" t="str">
        <f t="shared" si="4"/>
        <v>N/A</v>
      </c>
    </row>
    <row r="19" spans="1:10" x14ac:dyDescent="0.3">
      <c r="A19" s="20" t="str">
        <f>'Credit Cards'!A16</f>
        <v>Card14</v>
      </c>
      <c r="B19" s="20">
        <f>'Credit Cards'!B16</f>
        <v>0</v>
      </c>
      <c r="C19" s="17">
        <f>'Credit Cards'!M16</f>
        <v>0</v>
      </c>
      <c r="D19" s="17">
        <f>'Credit Cards'!C16</f>
        <v>0</v>
      </c>
      <c r="E19" s="17">
        <f t="shared" si="0"/>
        <v>0</v>
      </c>
      <c r="F19" s="27">
        <f t="shared" si="1"/>
        <v>0</v>
      </c>
      <c r="G19" s="18" t="str">
        <f t="shared" si="2"/>
        <v>Inactive</v>
      </c>
      <c r="H19" s="17">
        <f>SUMIF('Bill Master List'!D:D,"Card14",'Bill Master List'!B:B)</f>
        <v>0</v>
      </c>
      <c r="I19" s="18">
        <f t="shared" si="3"/>
        <v>1</v>
      </c>
      <c r="J19" s="19" t="str">
        <f t="shared" si="4"/>
        <v>N/A</v>
      </c>
    </row>
    <row r="20" spans="1:10" x14ac:dyDescent="0.3">
      <c r="A20" s="20" t="str">
        <f>'Credit Cards'!A17</f>
        <v>Card15</v>
      </c>
      <c r="B20" s="20">
        <f>'Credit Cards'!B17</f>
        <v>0</v>
      </c>
      <c r="C20" s="17">
        <f>'Credit Cards'!M17</f>
        <v>0</v>
      </c>
      <c r="D20" s="17">
        <f>'Credit Cards'!C17</f>
        <v>0</v>
      </c>
      <c r="E20" s="17">
        <f t="shared" si="0"/>
        <v>0</v>
      </c>
      <c r="F20" s="27">
        <f t="shared" si="1"/>
        <v>0</v>
      </c>
      <c r="G20" s="18" t="str">
        <f t="shared" si="2"/>
        <v>Inactive</v>
      </c>
      <c r="H20" s="17">
        <f>SUMIF('Bill Master List'!D:D,"Card15",'Bill Master List'!B:B)</f>
        <v>0</v>
      </c>
      <c r="I20" s="18">
        <f t="shared" si="3"/>
        <v>1</v>
      </c>
      <c r="J20" s="19" t="str">
        <f t="shared" si="4"/>
        <v>N/A</v>
      </c>
    </row>
    <row r="23" spans="1:10" x14ac:dyDescent="0.3">
      <c r="A23" s="88" t="s">
        <v>13</v>
      </c>
      <c r="B23" s="86"/>
      <c r="C23" s="86"/>
      <c r="D23" s="86"/>
      <c r="E23" s="86"/>
    </row>
    <row r="24" spans="1:10" x14ac:dyDescent="0.3">
      <c r="A24" s="28" t="s">
        <v>14</v>
      </c>
      <c r="B24" s="28" t="s">
        <v>15</v>
      </c>
      <c r="C24" s="28" t="s">
        <v>16</v>
      </c>
      <c r="D24" s="28" t="s">
        <v>17</v>
      </c>
      <c r="E24" s="28" t="s">
        <v>18</v>
      </c>
    </row>
    <row r="25" spans="1:10" x14ac:dyDescent="0.3">
      <c r="A25" s="29" t="s">
        <v>19</v>
      </c>
      <c r="B25" s="20" t="s">
        <v>20</v>
      </c>
      <c r="C25" s="20" t="s">
        <v>21</v>
      </c>
      <c r="D25" s="30">
        <f>COUNTIFS(F6:F20,"&lt;0.10",F6:F20,"&gt;0")</f>
        <v>0</v>
      </c>
      <c r="E25" s="31">
        <f>SUMIF(F6:F20,"&lt;0.10",C6:C20)</f>
        <v>0</v>
      </c>
    </row>
    <row r="26" spans="1:10" x14ac:dyDescent="0.3">
      <c r="A26" s="32" t="s">
        <v>22</v>
      </c>
      <c r="B26" s="20" t="s">
        <v>23</v>
      </c>
      <c r="C26" s="20" t="s">
        <v>24</v>
      </c>
      <c r="D26" s="30">
        <f>COUNTIFS(F6:F20,"&gt;=0.10",F6:F20,"&lt;0.30")</f>
        <v>0</v>
      </c>
      <c r="E26" s="31">
        <f>SUMIFS(C6:C20,F6:F20,"&gt;=0.10",F6:F20,"&lt;0.30")</f>
        <v>0</v>
      </c>
    </row>
    <row r="27" spans="1:10" x14ac:dyDescent="0.3">
      <c r="A27" s="33" t="s">
        <v>25</v>
      </c>
      <c r="B27" s="20" t="s">
        <v>26</v>
      </c>
      <c r="C27" s="20" t="s">
        <v>27</v>
      </c>
      <c r="D27" s="30">
        <f>COUNTIFS(F6:F20,"&gt;=0.30",F6:F20,"&lt;0.50")</f>
        <v>0</v>
      </c>
      <c r="E27" s="31">
        <f>SUMIFS(C6:C20,F6:F20,"&gt;=0.30",F6:F20,"&lt;0.50")</f>
        <v>0</v>
      </c>
    </row>
    <row r="28" spans="1:10" x14ac:dyDescent="0.3">
      <c r="A28" s="34" t="s">
        <v>28</v>
      </c>
      <c r="B28" s="20" t="s">
        <v>29</v>
      </c>
      <c r="C28" s="20" t="s">
        <v>30</v>
      </c>
      <c r="D28" s="30">
        <f>COUNTIF(F6:F20,"&gt;=0.50")</f>
        <v>5</v>
      </c>
      <c r="E28" s="31">
        <f>SUMIF(F6:F20,"&gt;=0.50",C6:C20)</f>
        <v>4129.03</v>
      </c>
    </row>
    <row r="31" spans="1:10" x14ac:dyDescent="0.3">
      <c r="A31" s="88" t="s">
        <v>31</v>
      </c>
      <c r="B31" s="86"/>
      <c r="C31" s="86"/>
      <c r="D31" s="86"/>
      <c r="E31" s="86"/>
    </row>
    <row r="32" spans="1:10" x14ac:dyDescent="0.3">
      <c r="A32" s="35" t="s">
        <v>32</v>
      </c>
      <c r="B32" s="36">
        <f>SUM(D6:D20)</f>
        <v>4500</v>
      </c>
      <c r="D32" s="35" t="s">
        <v>33</v>
      </c>
      <c r="E32" s="37">
        <f>COUNTIF('Credit Cards'!K3:K17,"Yes")</f>
        <v>5</v>
      </c>
    </row>
    <row r="33" spans="1:5" x14ac:dyDescent="0.3">
      <c r="A33" s="35" t="s">
        <v>34</v>
      </c>
      <c r="B33" s="36">
        <f>SUM(C6:C20)</f>
        <v>4129.03</v>
      </c>
      <c r="D33" s="35" t="s">
        <v>35</v>
      </c>
      <c r="E33" s="37">
        <f>COUNTIF(F6:F20,"&gt;=0.30")</f>
        <v>5</v>
      </c>
    </row>
    <row r="34" spans="1:5" x14ac:dyDescent="0.3">
      <c r="A34" s="35" t="s">
        <v>36</v>
      </c>
      <c r="B34" s="36">
        <f>SUM(E6:E20)</f>
        <v>370.97000000000008</v>
      </c>
      <c r="D34" s="35" t="s">
        <v>37</v>
      </c>
      <c r="E34" s="37">
        <f>COUNTIF(F6:F20,"&gt;=0.50")</f>
        <v>5</v>
      </c>
    </row>
    <row r="35" spans="1:5" x14ac:dyDescent="0.3">
      <c r="A35" s="35" t="s">
        <v>38</v>
      </c>
      <c r="B35" s="38">
        <f>IF(SUM(D6:D20)&gt;0,SUM(C6:C20)/SUM(D6:D20),0)</f>
        <v>0.91756222222222217</v>
      </c>
      <c r="D35" s="35" t="s">
        <v>39</v>
      </c>
      <c r="E35" s="38">
        <f>AVERAGE(F6:F20)</f>
        <v>0.31677444444444447</v>
      </c>
    </row>
  </sheetData>
  <mergeCells count="5">
    <mergeCell ref="A1:J1"/>
    <mergeCell ref="A2:J2"/>
    <mergeCell ref="A4:J4"/>
    <mergeCell ref="A23:E23"/>
    <mergeCell ref="A31:E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9"/>
  <sheetViews>
    <sheetView topLeftCell="A14" workbookViewId="0">
      <selection activeCell="F11" sqref="F11"/>
    </sheetView>
  </sheetViews>
  <sheetFormatPr defaultRowHeight="14.4" x14ac:dyDescent="0.3"/>
  <cols>
    <col min="1" max="1" width="8" customWidth="1"/>
    <col min="2" max="2" width="32" customWidth="1"/>
    <col min="3" max="3" width="12" customWidth="1"/>
    <col min="4" max="4" width="16" customWidth="1"/>
    <col min="5" max="5" width="18" customWidth="1"/>
    <col min="6" max="6" width="14" customWidth="1"/>
    <col min="7" max="7" width="12" customWidth="1"/>
    <col min="8" max="8" width="14" customWidth="1"/>
    <col min="9" max="9" width="12" customWidth="1"/>
    <col min="10" max="10" width="16" customWidth="1"/>
    <col min="11" max="12" width="14" customWidth="1"/>
  </cols>
  <sheetData>
    <row r="1" spans="1:12" ht="21" customHeight="1" x14ac:dyDescent="0.4">
      <c r="A1" s="118" t="s">
        <v>191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</row>
    <row r="2" spans="1:12" x14ac:dyDescent="0.3">
      <c r="A2" s="120" t="s">
        <v>192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</row>
    <row r="4" spans="1:12" x14ac:dyDescent="0.3">
      <c r="A4" s="88" t="s">
        <v>193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</row>
    <row r="5" spans="1:12" ht="27.6" customHeight="1" x14ac:dyDescent="0.3">
      <c r="A5" s="82" t="s">
        <v>3</v>
      </c>
      <c r="B5" s="82" t="s">
        <v>4</v>
      </c>
      <c r="C5" s="82" t="s">
        <v>6</v>
      </c>
      <c r="D5" s="82" t="s">
        <v>5</v>
      </c>
      <c r="E5" s="82" t="s">
        <v>194</v>
      </c>
      <c r="F5" s="82" t="s">
        <v>195</v>
      </c>
      <c r="G5" s="82" t="s">
        <v>196</v>
      </c>
      <c r="H5" s="82" t="s">
        <v>197</v>
      </c>
      <c r="I5" s="82" t="s">
        <v>198</v>
      </c>
      <c r="J5" s="82" t="s">
        <v>199</v>
      </c>
      <c r="K5" s="82" t="s">
        <v>200</v>
      </c>
      <c r="L5" s="82" t="s">
        <v>201</v>
      </c>
    </row>
    <row r="6" spans="1:12" x14ac:dyDescent="0.3">
      <c r="A6" s="20" t="str">
        <f>'Credit Cards'!A3</f>
        <v>Card1</v>
      </c>
      <c r="B6" s="20" t="str">
        <f>'Credit Cards'!B3</f>
        <v>Navy Federal Card</v>
      </c>
      <c r="C6" s="17">
        <f>'Credit Cards'!C3</f>
        <v>1500</v>
      </c>
      <c r="D6" s="17">
        <f>'Credit Cards'!H3</f>
        <v>1500.1</v>
      </c>
      <c r="E6" s="17">
        <f t="shared" ref="E6:E20" si="0">C6*0.3</f>
        <v>450</v>
      </c>
      <c r="F6" s="17">
        <f t="shared" ref="F6:F20" si="1">MAX(E6-D6,0)</f>
        <v>0</v>
      </c>
      <c r="G6" s="17">
        <f t="shared" ref="G6:G20" si="2">C6*0.1</f>
        <v>150</v>
      </c>
      <c r="H6" s="17">
        <f t="shared" ref="H6:H20" si="3">MAX(G6-D6,0)</f>
        <v>0</v>
      </c>
      <c r="I6" s="17">
        <f>SUMIF('Bill Master List'!D:D,"Card1",'Bill Master List'!B:B)</f>
        <v>587</v>
      </c>
      <c r="J6" s="17">
        <f t="shared" ref="J6:J20" si="4">D6+I6</f>
        <v>2087.1</v>
      </c>
      <c r="K6" s="27">
        <f t="shared" ref="K6:K20" si="5">IF(C6&gt;0,J6/C6,0)</f>
        <v>1.3914</v>
      </c>
      <c r="L6" s="18" t="str">
        <f t="shared" ref="L6:L20" si="6">IF(C6=0,"Inactive",IF(K6&lt;0.1,"✓ SAFE",IF(K6&lt;0.3,"⚠ Warning",IF(K6&lt;0.5,"🔶 CAUTION","🚨 DANGER"))))</f>
        <v>🚨 DANGER</v>
      </c>
    </row>
    <row r="7" spans="1:12" x14ac:dyDescent="0.3">
      <c r="A7" s="20" t="str">
        <f>'Credit Cards'!A4</f>
        <v>Card2</v>
      </c>
      <c r="B7" s="20" t="str">
        <f>'Credit Cards'!B4</f>
        <v>Indigo 3069</v>
      </c>
      <c r="C7" s="17">
        <f>'Credit Cards'!C4</f>
        <v>500</v>
      </c>
      <c r="D7" s="17">
        <f>'Credit Cards'!H4</f>
        <v>632.80999999999995</v>
      </c>
      <c r="E7" s="17">
        <f t="shared" si="0"/>
        <v>150</v>
      </c>
      <c r="F7" s="17">
        <f t="shared" si="1"/>
        <v>0</v>
      </c>
      <c r="G7" s="17">
        <f t="shared" si="2"/>
        <v>50</v>
      </c>
      <c r="H7" s="17">
        <f t="shared" si="3"/>
        <v>0</v>
      </c>
      <c r="I7" s="17">
        <f>SUMIF('Bill Master List'!D:D,"Card2",'Bill Master List'!B:B)</f>
        <v>398</v>
      </c>
      <c r="J7" s="17">
        <f t="shared" si="4"/>
        <v>1030.81</v>
      </c>
      <c r="K7" s="27">
        <f t="shared" si="5"/>
        <v>2.06162</v>
      </c>
      <c r="L7" s="18" t="str">
        <f t="shared" si="6"/>
        <v>🚨 DANGER</v>
      </c>
    </row>
    <row r="8" spans="1:12" x14ac:dyDescent="0.3">
      <c r="A8" s="20" t="str">
        <f>'Credit Cards'!A5</f>
        <v>Card3</v>
      </c>
      <c r="B8" s="20" t="str">
        <f>'Credit Cards'!B5</f>
        <v>Indigo 1448</v>
      </c>
      <c r="C8" s="17">
        <f>'Credit Cards'!C5</f>
        <v>1000</v>
      </c>
      <c r="D8" s="17">
        <f>'Credit Cards'!H5</f>
        <v>599.4</v>
      </c>
      <c r="E8" s="17">
        <f t="shared" si="0"/>
        <v>300</v>
      </c>
      <c r="F8" s="17">
        <f t="shared" si="1"/>
        <v>0</v>
      </c>
      <c r="G8" s="17">
        <f t="shared" si="2"/>
        <v>100</v>
      </c>
      <c r="H8" s="17">
        <f t="shared" si="3"/>
        <v>0</v>
      </c>
      <c r="I8" s="17">
        <f>SUMIF('Bill Master List'!D:D,"Card3",'Bill Master List'!B:B)</f>
        <v>1265</v>
      </c>
      <c r="J8" s="17">
        <f t="shared" si="4"/>
        <v>1864.4</v>
      </c>
      <c r="K8" s="27">
        <f t="shared" si="5"/>
        <v>1.8644000000000001</v>
      </c>
      <c r="L8" s="18" t="str">
        <f t="shared" si="6"/>
        <v>🚨 DANGER</v>
      </c>
    </row>
    <row r="9" spans="1:12" x14ac:dyDescent="0.3">
      <c r="A9" s="20" t="str">
        <f>'Credit Cards'!A6</f>
        <v>Card4</v>
      </c>
      <c r="B9" s="20" t="str">
        <f>'Credit Cards'!B6</f>
        <v xml:space="preserve">Milestone 5093 </v>
      </c>
      <c r="C9" s="17">
        <f>'Credit Cards'!C6</f>
        <v>500</v>
      </c>
      <c r="D9" s="17">
        <f>'Credit Cards'!H6</f>
        <v>489.81</v>
      </c>
      <c r="E9" s="17">
        <f t="shared" si="0"/>
        <v>150</v>
      </c>
      <c r="F9" s="17">
        <f t="shared" si="1"/>
        <v>0</v>
      </c>
      <c r="G9" s="17">
        <f t="shared" si="2"/>
        <v>50</v>
      </c>
      <c r="H9" s="17">
        <f t="shared" si="3"/>
        <v>0</v>
      </c>
      <c r="I9" s="17">
        <f>SUMIF('Bill Master List'!D:D,"Card4",'Bill Master List'!B:B)</f>
        <v>200</v>
      </c>
      <c r="J9" s="17">
        <f t="shared" si="4"/>
        <v>689.81</v>
      </c>
      <c r="K9" s="27">
        <f t="shared" si="5"/>
        <v>1.3796199999999998</v>
      </c>
      <c r="L9" s="18" t="str">
        <f t="shared" si="6"/>
        <v>🚨 DANGER</v>
      </c>
    </row>
    <row r="10" spans="1:12" x14ac:dyDescent="0.3">
      <c r="A10" s="20" t="str">
        <f>'Credit Cards'!A7</f>
        <v>Card5</v>
      </c>
      <c r="B10" s="20" t="str">
        <f>'Credit Cards'!B7</f>
        <v>Destiny 3992</v>
      </c>
      <c r="C10" s="17">
        <f>'Credit Cards'!C7</f>
        <v>1000</v>
      </c>
      <c r="D10" s="17">
        <f>'Credit Cards'!H7</f>
        <v>944.27</v>
      </c>
      <c r="E10" s="17">
        <f t="shared" si="0"/>
        <v>300</v>
      </c>
      <c r="F10" s="17">
        <f t="shared" si="1"/>
        <v>0</v>
      </c>
      <c r="G10" s="17">
        <f t="shared" si="2"/>
        <v>100</v>
      </c>
      <c r="H10" s="17">
        <f t="shared" si="3"/>
        <v>0</v>
      </c>
      <c r="I10" s="17">
        <f>SUMIF('Bill Master List'!D:D,"Card5",'Bill Master List'!B:B)</f>
        <v>630</v>
      </c>
      <c r="J10" s="17">
        <f t="shared" si="4"/>
        <v>1574.27</v>
      </c>
      <c r="K10" s="27">
        <f t="shared" si="5"/>
        <v>1.5742700000000001</v>
      </c>
      <c r="L10" s="18" t="str">
        <f t="shared" si="6"/>
        <v>🚨 DANGER</v>
      </c>
    </row>
    <row r="11" spans="1:12" x14ac:dyDescent="0.3">
      <c r="A11" s="20" t="str">
        <f>'Credit Cards'!A8</f>
        <v>Card6</v>
      </c>
      <c r="B11" s="20">
        <f>'Credit Cards'!B8</f>
        <v>0</v>
      </c>
      <c r="C11" s="17">
        <f>'Credit Cards'!C8</f>
        <v>0</v>
      </c>
      <c r="D11" s="17">
        <f>'Credit Cards'!H8</f>
        <v>0</v>
      </c>
      <c r="E11" s="17">
        <f t="shared" si="0"/>
        <v>0</v>
      </c>
      <c r="F11" s="17">
        <f t="shared" si="1"/>
        <v>0</v>
      </c>
      <c r="G11" s="17">
        <f t="shared" si="2"/>
        <v>0</v>
      </c>
      <c r="H11" s="17">
        <f t="shared" si="3"/>
        <v>0</v>
      </c>
      <c r="I11" s="17">
        <f>SUMIF('Bill Master List'!D:D,"Card6",'Bill Master List'!B:B)</f>
        <v>0</v>
      </c>
      <c r="J11" s="17">
        <f t="shared" si="4"/>
        <v>0</v>
      </c>
      <c r="K11" s="27">
        <f t="shared" si="5"/>
        <v>0</v>
      </c>
      <c r="L11" s="18" t="str">
        <f t="shared" si="6"/>
        <v>Inactive</v>
      </c>
    </row>
    <row r="12" spans="1:12" x14ac:dyDescent="0.3">
      <c r="A12" s="20" t="str">
        <f>'Credit Cards'!A9</f>
        <v>Card7</v>
      </c>
      <c r="B12" s="20">
        <f>'Credit Cards'!B9</f>
        <v>0</v>
      </c>
      <c r="C12" s="17">
        <f>'Credit Cards'!C9</f>
        <v>0</v>
      </c>
      <c r="D12" s="17">
        <f>'Credit Cards'!H9</f>
        <v>0</v>
      </c>
      <c r="E12" s="17">
        <f t="shared" si="0"/>
        <v>0</v>
      </c>
      <c r="F12" s="17">
        <f t="shared" si="1"/>
        <v>0</v>
      </c>
      <c r="G12" s="17">
        <f t="shared" si="2"/>
        <v>0</v>
      </c>
      <c r="H12" s="17">
        <f t="shared" si="3"/>
        <v>0</v>
      </c>
      <c r="I12" s="17">
        <f>SUMIF('Bill Master List'!D:D,"Card7",'Bill Master List'!B:B)</f>
        <v>0</v>
      </c>
      <c r="J12" s="17">
        <f t="shared" si="4"/>
        <v>0</v>
      </c>
      <c r="K12" s="27">
        <f t="shared" si="5"/>
        <v>0</v>
      </c>
      <c r="L12" s="18" t="str">
        <f t="shared" si="6"/>
        <v>Inactive</v>
      </c>
    </row>
    <row r="13" spans="1:12" x14ac:dyDescent="0.3">
      <c r="A13" s="20" t="str">
        <f>'Credit Cards'!A10</f>
        <v>Card8</v>
      </c>
      <c r="B13" s="20">
        <f>'Credit Cards'!B10</f>
        <v>0</v>
      </c>
      <c r="C13" s="17">
        <f>'Credit Cards'!C10</f>
        <v>0</v>
      </c>
      <c r="D13" s="17">
        <f>'Credit Cards'!H10</f>
        <v>0</v>
      </c>
      <c r="E13" s="17">
        <f t="shared" si="0"/>
        <v>0</v>
      </c>
      <c r="F13" s="17">
        <f t="shared" si="1"/>
        <v>0</v>
      </c>
      <c r="G13" s="17">
        <f t="shared" si="2"/>
        <v>0</v>
      </c>
      <c r="H13" s="17">
        <f t="shared" si="3"/>
        <v>0</v>
      </c>
      <c r="I13" s="17">
        <f>SUMIF('Bill Master List'!D:D,"Card8",'Bill Master List'!B:B)</f>
        <v>0</v>
      </c>
      <c r="J13" s="17">
        <f t="shared" si="4"/>
        <v>0</v>
      </c>
      <c r="K13" s="27">
        <f t="shared" si="5"/>
        <v>0</v>
      </c>
      <c r="L13" s="18" t="str">
        <f t="shared" si="6"/>
        <v>Inactive</v>
      </c>
    </row>
    <row r="14" spans="1:12" x14ac:dyDescent="0.3">
      <c r="A14" s="20" t="str">
        <f>'Credit Cards'!A11</f>
        <v>Card9</v>
      </c>
      <c r="B14" s="20">
        <f>'Credit Cards'!B11</f>
        <v>0</v>
      </c>
      <c r="C14" s="17">
        <f>'Credit Cards'!C11</f>
        <v>0</v>
      </c>
      <c r="D14" s="17">
        <f>'Credit Cards'!H11</f>
        <v>0</v>
      </c>
      <c r="E14" s="17">
        <f t="shared" si="0"/>
        <v>0</v>
      </c>
      <c r="F14" s="17">
        <f t="shared" si="1"/>
        <v>0</v>
      </c>
      <c r="G14" s="17">
        <f t="shared" si="2"/>
        <v>0</v>
      </c>
      <c r="H14" s="17">
        <f t="shared" si="3"/>
        <v>0</v>
      </c>
      <c r="I14" s="17">
        <f>SUMIF('Bill Master List'!D:D,"Card9",'Bill Master List'!B:B)</f>
        <v>0</v>
      </c>
      <c r="J14" s="17">
        <f t="shared" si="4"/>
        <v>0</v>
      </c>
      <c r="K14" s="27">
        <f t="shared" si="5"/>
        <v>0</v>
      </c>
      <c r="L14" s="18" t="str">
        <f t="shared" si="6"/>
        <v>Inactive</v>
      </c>
    </row>
    <row r="15" spans="1:12" x14ac:dyDescent="0.3">
      <c r="A15" s="20" t="str">
        <f>'Credit Cards'!A12</f>
        <v>Card10</v>
      </c>
      <c r="B15" s="20">
        <f>'Credit Cards'!B12</f>
        <v>0</v>
      </c>
      <c r="C15" s="17">
        <f>'Credit Cards'!C12</f>
        <v>0</v>
      </c>
      <c r="D15" s="17">
        <f>'Credit Cards'!H12</f>
        <v>0</v>
      </c>
      <c r="E15" s="17">
        <f t="shared" si="0"/>
        <v>0</v>
      </c>
      <c r="F15" s="17">
        <f t="shared" si="1"/>
        <v>0</v>
      </c>
      <c r="G15" s="17">
        <f t="shared" si="2"/>
        <v>0</v>
      </c>
      <c r="H15" s="17">
        <f t="shared" si="3"/>
        <v>0</v>
      </c>
      <c r="I15" s="17">
        <f>SUMIF('Bill Master List'!D:D,"Card10",'Bill Master List'!B:B)</f>
        <v>0</v>
      </c>
      <c r="J15" s="17">
        <f t="shared" si="4"/>
        <v>0</v>
      </c>
      <c r="K15" s="27">
        <f t="shared" si="5"/>
        <v>0</v>
      </c>
      <c r="L15" s="18" t="str">
        <f t="shared" si="6"/>
        <v>Inactive</v>
      </c>
    </row>
    <row r="16" spans="1:12" x14ac:dyDescent="0.3">
      <c r="A16" s="20" t="str">
        <f>'Credit Cards'!A13</f>
        <v>Card11</v>
      </c>
      <c r="B16" s="20">
        <f>'Credit Cards'!B13</f>
        <v>0</v>
      </c>
      <c r="C16" s="17">
        <f>'Credit Cards'!C13</f>
        <v>0</v>
      </c>
      <c r="D16" s="17">
        <f>'Credit Cards'!H13</f>
        <v>0</v>
      </c>
      <c r="E16" s="17">
        <f t="shared" si="0"/>
        <v>0</v>
      </c>
      <c r="F16" s="17">
        <f t="shared" si="1"/>
        <v>0</v>
      </c>
      <c r="G16" s="17">
        <f t="shared" si="2"/>
        <v>0</v>
      </c>
      <c r="H16" s="17">
        <f t="shared" si="3"/>
        <v>0</v>
      </c>
      <c r="I16" s="17">
        <f>SUMIF('Bill Master List'!D:D,"Card11",'Bill Master List'!B:B)</f>
        <v>0</v>
      </c>
      <c r="J16" s="17">
        <f t="shared" si="4"/>
        <v>0</v>
      </c>
      <c r="K16" s="27">
        <f t="shared" si="5"/>
        <v>0</v>
      </c>
      <c r="L16" s="18" t="str">
        <f t="shared" si="6"/>
        <v>Inactive</v>
      </c>
    </row>
    <row r="17" spans="1:12" x14ac:dyDescent="0.3">
      <c r="A17" s="20" t="str">
        <f>'Credit Cards'!A14</f>
        <v>Card12</v>
      </c>
      <c r="B17" s="20">
        <f>'Credit Cards'!B14</f>
        <v>0</v>
      </c>
      <c r="C17" s="17">
        <f>'Credit Cards'!C14</f>
        <v>0</v>
      </c>
      <c r="D17" s="17">
        <f>'Credit Cards'!H14</f>
        <v>0</v>
      </c>
      <c r="E17" s="17">
        <f t="shared" si="0"/>
        <v>0</v>
      </c>
      <c r="F17" s="17">
        <f t="shared" si="1"/>
        <v>0</v>
      </c>
      <c r="G17" s="17">
        <f t="shared" si="2"/>
        <v>0</v>
      </c>
      <c r="H17" s="17">
        <f t="shared" si="3"/>
        <v>0</v>
      </c>
      <c r="I17" s="17">
        <f>SUMIF('Bill Master List'!D:D,"Card12",'Bill Master List'!B:B)</f>
        <v>0</v>
      </c>
      <c r="J17" s="17">
        <f t="shared" si="4"/>
        <v>0</v>
      </c>
      <c r="K17" s="27">
        <f t="shared" si="5"/>
        <v>0</v>
      </c>
      <c r="L17" s="18" t="str">
        <f t="shared" si="6"/>
        <v>Inactive</v>
      </c>
    </row>
    <row r="18" spans="1:12" x14ac:dyDescent="0.3">
      <c r="A18" s="20" t="str">
        <f>'Credit Cards'!A15</f>
        <v>Card13</v>
      </c>
      <c r="B18" s="20">
        <f>'Credit Cards'!B15</f>
        <v>0</v>
      </c>
      <c r="C18" s="17">
        <f>'Credit Cards'!C15</f>
        <v>0</v>
      </c>
      <c r="D18" s="17">
        <f>'Credit Cards'!H15</f>
        <v>0</v>
      </c>
      <c r="E18" s="17">
        <f t="shared" si="0"/>
        <v>0</v>
      </c>
      <c r="F18" s="17">
        <f t="shared" si="1"/>
        <v>0</v>
      </c>
      <c r="G18" s="17">
        <f t="shared" si="2"/>
        <v>0</v>
      </c>
      <c r="H18" s="17">
        <f t="shared" si="3"/>
        <v>0</v>
      </c>
      <c r="I18" s="17">
        <f>SUMIF('Bill Master List'!D:D,"Card13",'Bill Master List'!B:B)</f>
        <v>0</v>
      </c>
      <c r="J18" s="17">
        <f t="shared" si="4"/>
        <v>0</v>
      </c>
      <c r="K18" s="27">
        <f t="shared" si="5"/>
        <v>0</v>
      </c>
      <c r="L18" s="18" t="str">
        <f t="shared" si="6"/>
        <v>Inactive</v>
      </c>
    </row>
    <row r="19" spans="1:12" x14ac:dyDescent="0.3">
      <c r="A19" s="20" t="str">
        <f>'Credit Cards'!A16</f>
        <v>Card14</v>
      </c>
      <c r="B19" s="20">
        <f>'Credit Cards'!B16</f>
        <v>0</v>
      </c>
      <c r="C19" s="17">
        <f>'Credit Cards'!C16</f>
        <v>0</v>
      </c>
      <c r="D19" s="17">
        <f>'Credit Cards'!H16</f>
        <v>0</v>
      </c>
      <c r="E19" s="17">
        <f t="shared" si="0"/>
        <v>0</v>
      </c>
      <c r="F19" s="17">
        <f t="shared" si="1"/>
        <v>0</v>
      </c>
      <c r="G19" s="17">
        <f t="shared" si="2"/>
        <v>0</v>
      </c>
      <c r="H19" s="17">
        <f t="shared" si="3"/>
        <v>0</v>
      </c>
      <c r="I19" s="17">
        <f>SUMIF('Bill Master List'!D:D,"Card14",'Bill Master List'!B:B)</f>
        <v>0</v>
      </c>
      <c r="J19" s="17">
        <f t="shared" si="4"/>
        <v>0</v>
      </c>
      <c r="K19" s="27">
        <f t="shared" si="5"/>
        <v>0</v>
      </c>
      <c r="L19" s="18" t="str">
        <f t="shared" si="6"/>
        <v>Inactive</v>
      </c>
    </row>
    <row r="20" spans="1:12" x14ac:dyDescent="0.3">
      <c r="A20" s="20" t="str">
        <f>'Credit Cards'!A17</f>
        <v>Card15</v>
      </c>
      <c r="B20" s="20">
        <f>'Credit Cards'!B17</f>
        <v>0</v>
      </c>
      <c r="C20" s="17">
        <f>'Credit Cards'!C17</f>
        <v>0</v>
      </c>
      <c r="D20" s="17">
        <f>'Credit Cards'!H17</f>
        <v>0</v>
      </c>
      <c r="E20" s="17">
        <f t="shared" si="0"/>
        <v>0</v>
      </c>
      <c r="F20" s="17">
        <f t="shared" si="1"/>
        <v>0</v>
      </c>
      <c r="G20" s="17">
        <f t="shared" si="2"/>
        <v>0</v>
      </c>
      <c r="H20" s="17">
        <f t="shared" si="3"/>
        <v>0</v>
      </c>
      <c r="I20" s="17">
        <f>SUMIF('Bill Master List'!D:D,"Card15",'Bill Master List'!B:B)</f>
        <v>0</v>
      </c>
      <c r="J20" s="17">
        <f t="shared" si="4"/>
        <v>0</v>
      </c>
      <c r="K20" s="27">
        <f t="shared" si="5"/>
        <v>0</v>
      </c>
      <c r="L20" s="18" t="str">
        <f t="shared" si="6"/>
        <v>Inactive</v>
      </c>
    </row>
    <row r="22" spans="1:12" ht="18" customHeight="1" x14ac:dyDescent="0.35">
      <c r="A22" s="103" t="s">
        <v>202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</row>
    <row r="23" spans="1:12" x14ac:dyDescent="0.3">
      <c r="A23" s="102" t="s">
        <v>203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</row>
    <row r="24" spans="1:12" ht="27.6" customHeight="1" x14ac:dyDescent="0.3">
      <c r="A24" s="21" t="s">
        <v>204</v>
      </c>
      <c r="B24" s="21" t="s">
        <v>130</v>
      </c>
      <c r="C24" s="21" t="s">
        <v>131</v>
      </c>
      <c r="D24" s="21" t="s">
        <v>205</v>
      </c>
      <c r="E24" s="21" t="s">
        <v>206</v>
      </c>
      <c r="F24" s="21" t="s">
        <v>207</v>
      </c>
      <c r="G24" s="21" t="s">
        <v>208</v>
      </c>
      <c r="H24" s="21" t="s">
        <v>209</v>
      </c>
      <c r="I24" s="21" t="s">
        <v>210</v>
      </c>
      <c r="J24" s="21" t="s">
        <v>211</v>
      </c>
      <c r="K24" s="21" t="s">
        <v>212</v>
      </c>
      <c r="L24" s="21" t="s">
        <v>213</v>
      </c>
    </row>
    <row r="25" spans="1:12" ht="28.8" customHeight="1" x14ac:dyDescent="0.3">
      <c r="A25" s="18">
        <v>1</v>
      </c>
      <c r="B25" s="30" t="s">
        <v>137</v>
      </c>
      <c r="C25" s="17">
        <v>570.6</v>
      </c>
      <c r="D25" s="18" t="s">
        <v>214</v>
      </c>
      <c r="E25" s="39" t="s">
        <v>107</v>
      </c>
      <c r="F25" s="20" t="s">
        <v>108</v>
      </c>
      <c r="G25" s="18" t="s">
        <v>215</v>
      </c>
      <c r="H25" s="18" t="s">
        <v>216</v>
      </c>
      <c r="I25" s="17">
        <v>40</v>
      </c>
      <c r="J25" s="18" t="s">
        <v>217</v>
      </c>
      <c r="K25" s="19" t="s">
        <v>139</v>
      </c>
      <c r="L25" s="40" t="s">
        <v>218</v>
      </c>
    </row>
    <row r="26" spans="1:12" ht="43.2" customHeight="1" x14ac:dyDescent="0.3">
      <c r="A26" s="18">
        <v>2</v>
      </c>
      <c r="B26" s="30" t="s">
        <v>156</v>
      </c>
      <c r="C26" s="17">
        <v>400</v>
      </c>
      <c r="D26" s="18" t="s">
        <v>214</v>
      </c>
      <c r="E26" s="39" t="s">
        <v>112</v>
      </c>
      <c r="F26" s="20" t="s">
        <v>113</v>
      </c>
      <c r="G26" s="18" t="s">
        <v>219</v>
      </c>
      <c r="H26" s="18" t="s">
        <v>220</v>
      </c>
      <c r="I26" s="17">
        <v>0</v>
      </c>
      <c r="J26" s="18" t="s">
        <v>221</v>
      </c>
      <c r="K26" s="19" t="s">
        <v>155</v>
      </c>
      <c r="L26" s="41" t="s">
        <v>222</v>
      </c>
    </row>
    <row r="27" spans="1:12" ht="57.6" customHeight="1" x14ac:dyDescent="0.3">
      <c r="A27" s="18">
        <v>3</v>
      </c>
      <c r="B27" s="30" t="s">
        <v>149</v>
      </c>
      <c r="C27" s="17">
        <v>785</v>
      </c>
      <c r="D27" s="18" t="s">
        <v>223</v>
      </c>
      <c r="E27" s="39" t="s">
        <v>112</v>
      </c>
      <c r="F27" s="20" t="s">
        <v>113</v>
      </c>
      <c r="G27" s="18" t="s">
        <v>219</v>
      </c>
      <c r="H27" s="18" t="s">
        <v>220</v>
      </c>
      <c r="I27" s="17">
        <v>39</v>
      </c>
      <c r="J27" s="18" t="s">
        <v>224</v>
      </c>
      <c r="K27" s="19" t="s">
        <v>151</v>
      </c>
      <c r="L27" s="40" t="s">
        <v>218</v>
      </c>
    </row>
    <row r="28" spans="1:12" ht="43.2" customHeight="1" x14ac:dyDescent="0.3">
      <c r="A28" s="18">
        <v>4</v>
      </c>
      <c r="B28" s="30" t="s">
        <v>146</v>
      </c>
      <c r="C28" s="17">
        <v>80</v>
      </c>
      <c r="D28" s="18" t="s">
        <v>225</v>
      </c>
      <c r="E28" s="39" t="s">
        <v>112</v>
      </c>
      <c r="F28" s="20" t="s">
        <v>113</v>
      </c>
      <c r="G28" s="18" t="s">
        <v>219</v>
      </c>
      <c r="H28" s="18" t="s">
        <v>220</v>
      </c>
      <c r="I28" s="17">
        <v>25</v>
      </c>
      <c r="J28" s="18" t="s">
        <v>221</v>
      </c>
      <c r="K28" s="19" t="s">
        <v>148</v>
      </c>
      <c r="L28" s="42" t="s">
        <v>226</v>
      </c>
    </row>
    <row r="29" spans="1:12" ht="28.8" customHeight="1" x14ac:dyDescent="0.3">
      <c r="A29" s="18">
        <v>5</v>
      </c>
      <c r="B29" s="30" t="s">
        <v>142</v>
      </c>
      <c r="C29" s="17">
        <v>98</v>
      </c>
      <c r="D29" s="18" t="s">
        <v>215</v>
      </c>
      <c r="E29" s="39" t="s">
        <v>110</v>
      </c>
      <c r="F29" s="20" t="s">
        <v>111</v>
      </c>
      <c r="G29" s="18" t="s">
        <v>227</v>
      </c>
      <c r="H29" s="18" t="s">
        <v>228</v>
      </c>
      <c r="I29" s="17">
        <v>20</v>
      </c>
      <c r="J29" s="18" t="s">
        <v>217</v>
      </c>
      <c r="K29" s="19" t="s">
        <v>139</v>
      </c>
      <c r="L29" s="41" t="s">
        <v>222</v>
      </c>
    </row>
    <row r="30" spans="1:12" ht="43.2" customHeight="1" x14ac:dyDescent="0.3">
      <c r="A30" s="18">
        <v>6</v>
      </c>
      <c r="B30" s="30" t="s">
        <v>152</v>
      </c>
      <c r="C30" s="17">
        <v>0</v>
      </c>
      <c r="D30" s="18" t="s">
        <v>215</v>
      </c>
      <c r="E30" s="39" t="s">
        <v>107</v>
      </c>
      <c r="F30" s="20" t="s">
        <v>108</v>
      </c>
      <c r="G30" s="18" t="s">
        <v>215</v>
      </c>
      <c r="H30" s="18" t="s">
        <v>216</v>
      </c>
      <c r="I30" s="17">
        <v>25</v>
      </c>
      <c r="J30" s="18" t="s">
        <v>224</v>
      </c>
      <c r="K30" s="19" t="s">
        <v>153</v>
      </c>
      <c r="L30" s="40" t="s">
        <v>218</v>
      </c>
    </row>
    <row r="31" spans="1:12" ht="28.8" customHeight="1" x14ac:dyDescent="0.3">
      <c r="A31" s="18">
        <v>7</v>
      </c>
      <c r="B31" s="30" t="s">
        <v>140</v>
      </c>
      <c r="C31" s="17">
        <v>109</v>
      </c>
      <c r="D31" s="18" t="s">
        <v>229</v>
      </c>
      <c r="E31" s="39" t="s">
        <v>107</v>
      </c>
      <c r="F31" s="20" t="s">
        <v>108</v>
      </c>
      <c r="G31" s="18" t="s">
        <v>215</v>
      </c>
      <c r="H31" s="18" t="s">
        <v>216</v>
      </c>
      <c r="I31" s="17">
        <v>25</v>
      </c>
      <c r="J31" s="18" t="s">
        <v>217</v>
      </c>
      <c r="K31" s="19" t="s">
        <v>139</v>
      </c>
      <c r="L31" s="42" t="s">
        <v>226</v>
      </c>
    </row>
    <row r="32" spans="1:12" ht="28.8" customHeight="1" x14ac:dyDescent="0.3">
      <c r="A32" s="18">
        <v>8</v>
      </c>
      <c r="B32" s="30" t="s">
        <v>141</v>
      </c>
      <c r="C32" s="17">
        <v>180</v>
      </c>
      <c r="D32" s="18" t="s">
        <v>227</v>
      </c>
      <c r="E32" s="39" t="s">
        <v>110</v>
      </c>
      <c r="F32" s="20" t="s">
        <v>111</v>
      </c>
      <c r="G32" s="18" t="s">
        <v>227</v>
      </c>
      <c r="H32" s="18" t="s">
        <v>228</v>
      </c>
      <c r="I32" s="17">
        <v>25</v>
      </c>
      <c r="J32" s="18" t="s">
        <v>217</v>
      </c>
      <c r="K32" s="19" t="s">
        <v>139</v>
      </c>
      <c r="L32" s="42" t="s">
        <v>226</v>
      </c>
    </row>
    <row r="33" spans="1:12" ht="43.2" customHeight="1" x14ac:dyDescent="0.3">
      <c r="A33" s="18">
        <v>9</v>
      </c>
      <c r="B33" s="30" t="s">
        <v>154</v>
      </c>
      <c r="C33" s="17">
        <v>200</v>
      </c>
      <c r="D33" s="18" t="s">
        <v>227</v>
      </c>
      <c r="E33" s="39" t="s">
        <v>114</v>
      </c>
      <c r="F33" s="20" t="s">
        <v>115</v>
      </c>
      <c r="G33" s="18" t="s">
        <v>225</v>
      </c>
      <c r="H33" s="18" t="s">
        <v>229</v>
      </c>
      <c r="I33" s="17">
        <v>0</v>
      </c>
      <c r="J33" s="18" t="s">
        <v>221</v>
      </c>
      <c r="K33" s="19" t="s">
        <v>155</v>
      </c>
      <c r="L33" s="41" t="s">
        <v>222</v>
      </c>
    </row>
    <row r="34" spans="1:12" ht="28.8" customHeight="1" x14ac:dyDescent="0.3">
      <c r="A34" s="18">
        <v>10</v>
      </c>
      <c r="B34" s="30" t="s">
        <v>158</v>
      </c>
      <c r="C34" s="17">
        <v>45</v>
      </c>
      <c r="D34" s="18" t="s">
        <v>227</v>
      </c>
      <c r="E34" s="39" t="s">
        <v>110</v>
      </c>
      <c r="F34" s="20" t="s">
        <v>111</v>
      </c>
      <c r="G34" s="18" t="s">
        <v>227</v>
      </c>
      <c r="H34" s="18" t="s">
        <v>228</v>
      </c>
      <c r="I34" s="17">
        <v>25</v>
      </c>
      <c r="J34" s="18" t="s">
        <v>221</v>
      </c>
      <c r="K34" s="19" t="s">
        <v>160</v>
      </c>
      <c r="L34" s="42" t="s">
        <v>226</v>
      </c>
    </row>
    <row r="35" spans="1:12" ht="72" customHeight="1" x14ac:dyDescent="0.3">
      <c r="A35" s="18">
        <v>11</v>
      </c>
      <c r="B35" s="30" t="s">
        <v>164</v>
      </c>
      <c r="C35" s="17">
        <v>600</v>
      </c>
      <c r="D35" s="18" t="s">
        <v>227</v>
      </c>
      <c r="E35" s="39" t="s">
        <v>116</v>
      </c>
      <c r="F35" s="20" t="s">
        <v>117</v>
      </c>
      <c r="G35" s="18" t="s">
        <v>214</v>
      </c>
      <c r="H35" s="18" t="s">
        <v>230</v>
      </c>
      <c r="I35" s="17">
        <v>25</v>
      </c>
      <c r="J35" s="18" t="s">
        <v>231</v>
      </c>
      <c r="K35" s="19" t="s">
        <v>165</v>
      </c>
      <c r="L35" s="42" t="s">
        <v>226</v>
      </c>
    </row>
    <row r="36" spans="1:12" ht="43.2" customHeight="1" x14ac:dyDescent="0.3">
      <c r="A36" s="18">
        <v>12</v>
      </c>
      <c r="B36" s="30" t="s">
        <v>143</v>
      </c>
      <c r="C36" s="17">
        <v>75</v>
      </c>
      <c r="D36" s="18" t="s">
        <v>219</v>
      </c>
      <c r="E36" s="39" t="s">
        <v>110</v>
      </c>
      <c r="F36" s="20" t="s">
        <v>111</v>
      </c>
      <c r="G36" s="18" t="s">
        <v>227</v>
      </c>
      <c r="H36" s="18" t="s">
        <v>228</v>
      </c>
      <c r="I36" s="17">
        <v>0</v>
      </c>
      <c r="J36" s="18" t="s">
        <v>221</v>
      </c>
      <c r="K36" s="19" t="s">
        <v>145</v>
      </c>
      <c r="L36" s="41" t="s">
        <v>222</v>
      </c>
    </row>
    <row r="37" spans="1:12" ht="43.2" customHeight="1" x14ac:dyDescent="0.3">
      <c r="A37" s="18">
        <v>13</v>
      </c>
      <c r="B37" s="30" t="s">
        <v>161</v>
      </c>
      <c r="C37" s="17">
        <v>30</v>
      </c>
      <c r="D37" s="18" t="s">
        <v>219</v>
      </c>
      <c r="E37" s="39" t="s">
        <v>116</v>
      </c>
      <c r="F37" s="20" t="s">
        <v>117</v>
      </c>
      <c r="G37" s="18" t="s">
        <v>214</v>
      </c>
      <c r="H37" s="18" t="s">
        <v>230</v>
      </c>
      <c r="I37" s="17">
        <v>0</v>
      </c>
      <c r="J37" s="18" t="s">
        <v>221</v>
      </c>
      <c r="K37" s="19" t="s">
        <v>163</v>
      </c>
      <c r="L37" s="41" t="s">
        <v>222</v>
      </c>
    </row>
    <row r="39" spans="1:12" ht="15.6" customHeight="1" x14ac:dyDescent="0.3">
      <c r="B39" s="43" t="s">
        <v>232</v>
      </c>
      <c r="C39" s="44">
        <f>SUM(C25:C37)</f>
        <v>3172.6</v>
      </c>
      <c r="H39" s="45" t="s">
        <v>233</v>
      </c>
      <c r="I39" s="46">
        <f>SUM(I25:I37)</f>
        <v>249</v>
      </c>
    </row>
    <row r="42" spans="1:12" ht="18" customHeight="1" x14ac:dyDescent="0.35">
      <c r="A42" s="100" t="s">
        <v>234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</row>
    <row r="43" spans="1:12" x14ac:dyDescent="0.3">
      <c r="A43" s="101" t="s">
        <v>235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</row>
    <row r="44" spans="1:12" ht="27.6" customHeight="1" x14ac:dyDescent="0.3">
      <c r="A44" s="21" t="s">
        <v>3</v>
      </c>
      <c r="B44" s="21" t="s">
        <v>4</v>
      </c>
      <c r="C44" s="21" t="s">
        <v>236</v>
      </c>
      <c r="D44" s="21" t="s">
        <v>237</v>
      </c>
      <c r="E44" s="21" t="s">
        <v>5</v>
      </c>
      <c r="F44" s="21" t="s">
        <v>238</v>
      </c>
      <c r="G44" s="21" t="s">
        <v>6</v>
      </c>
      <c r="H44" s="21" t="s">
        <v>239</v>
      </c>
      <c r="I44" s="21" t="s">
        <v>9</v>
      </c>
      <c r="J44" s="21" t="s">
        <v>240</v>
      </c>
      <c r="K44" s="21" t="s">
        <v>241</v>
      </c>
      <c r="L44" s="21" t="s">
        <v>242</v>
      </c>
    </row>
    <row r="45" spans="1:12" ht="57.6" customHeight="1" x14ac:dyDescent="0.3">
      <c r="A45" s="30" t="s">
        <v>107</v>
      </c>
      <c r="B45" s="20" t="s">
        <v>108</v>
      </c>
      <c r="C45" s="19" t="s">
        <v>243</v>
      </c>
      <c r="D45" s="31">
        <v>679.6</v>
      </c>
      <c r="E45" s="17">
        <v>1500.1</v>
      </c>
      <c r="F45" s="17">
        <v>2179.6999999999998</v>
      </c>
      <c r="G45" s="17">
        <v>1500</v>
      </c>
      <c r="H45" s="27">
        <v>1.4531333333333329</v>
      </c>
      <c r="I45" s="18" t="s">
        <v>28</v>
      </c>
      <c r="J45" s="47">
        <v>2029.7</v>
      </c>
      <c r="K45" s="17">
        <v>150</v>
      </c>
      <c r="L45" s="27">
        <v>0.1</v>
      </c>
    </row>
    <row r="46" spans="1:12" ht="43.2" customHeight="1" x14ac:dyDescent="0.3">
      <c r="A46" s="30" t="s">
        <v>110</v>
      </c>
      <c r="B46" s="20" t="s">
        <v>111</v>
      </c>
      <c r="C46" s="19" t="s">
        <v>244</v>
      </c>
      <c r="D46" s="31">
        <v>398</v>
      </c>
      <c r="E46" s="17">
        <v>632.80999999999995</v>
      </c>
      <c r="F46" s="17">
        <v>1030.81</v>
      </c>
      <c r="G46" s="17">
        <v>500</v>
      </c>
      <c r="H46" s="27">
        <v>2.06162</v>
      </c>
      <c r="I46" s="18" t="s">
        <v>28</v>
      </c>
      <c r="J46" s="47">
        <v>980.81</v>
      </c>
      <c r="K46" s="17">
        <v>50</v>
      </c>
      <c r="L46" s="27">
        <v>0.1</v>
      </c>
    </row>
    <row r="47" spans="1:12" ht="43.2" customHeight="1" x14ac:dyDescent="0.3">
      <c r="A47" s="30" t="s">
        <v>112</v>
      </c>
      <c r="B47" s="20" t="s">
        <v>113</v>
      </c>
      <c r="C47" s="19" t="s">
        <v>245</v>
      </c>
      <c r="D47" s="31">
        <v>1265</v>
      </c>
      <c r="E47" s="17">
        <v>599.4</v>
      </c>
      <c r="F47" s="17">
        <v>1864.4</v>
      </c>
      <c r="G47" s="17">
        <v>1000</v>
      </c>
      <c r="H47" s="27">
        <v>1.8644000000000001</v>
      </c>
      <c r="I47" s="18" t="s">
        <v>28</v>
      </c>
      <c r="J47" s="47">
        <v>1764.4</v>
      </c>
      <c r="K47" s="17">
        <v>100</v>
      </c>
      <c r="L47" s="27">
        <v>0.1</v>
      </c>
    </row>
    <row r="48" spans="1:12" ht="15.6" customHeight="1" x14ac:dyDescent="0.3">
      <c r="A48" s="30" t="s">
        <v>114</v>
      </c>
      <c r="B48" s="20" t="s">
        <v>115</v>
      </c>
      <c r="C48" s="19" t="s">
        <v>154</v>
      </c>
      <c r="D48" s="31">
        <v>200</v>
      </c>
      <c r="E48" s="17">
        <v>489.81</v>
      </c>
      <c r="F48" s="17">
        <v>689.81</v>
      </c>
      <c r="G48" s="17">
        <v>500</v>
      </c>
      <c r="H48" s="27">
        <v>1.3796200000000001</v>
      </c>
      <c r="I48" s="18" t="s">
        <v>28</v>
      </c>
      <c r="J48" s="47">
        <v>639.80999999999995</v>
      </c>
      <c r="K48" s="17">
        <v>50</v>
      </c>
      <c r="L48" s="27">
        <v>0.1</v>
      </c>
    </row>
    <row r="49" spans="1:12" ht="15.6" customHeight="1" x14ac:dyDescent="0.3">
      <c r="A49" s="30" t="s">
        <v>116</v>
      </c>
      <c r="B49" s="20" t="s">
        <v>117</v>
      </c>
      <c r="C49" s="19" t="s">
        <v>246</v>
      </c>
      <c r="D49" s="31">
        <v>630</v>
      </c>
      <c r="E49" s="17">
        <v>944.27</v>
      </c>
      <c r="F49" s="17">
        <v>1574.27</v>
      </c>
      <c r="G49" s="17">
        <v>1000</v>
      </c>
      <c r="H49" s="27">
        <v>1.5742700000000001</v>
      </c>
      <c r="I49" s="18" t="s">
        <v>28</v>
      </c>
      <c r="J49" s="47">
        <v>1474.27</v>
      </c>
      <c r="K49" s="17">
        <v>100</v>
      </c>
      <c r="L49" s="27">
        <v>0.1</v>
      </c>
    </row>
    <row r="51" spans="1:12" ht="18" customHeight="1" x14ac:dyDescent="0.35">
      <c r="I51" s="48" t="s">
        <v>247</v>
      </c>
      <c r="J51" s="49">
        <v>6888.99</v>
      </c>
    </row>
    <row r="54" spans="1:12" ht="18" customHeight="1" x14ac:dyDescent="0.35">
      <c r="A54" s="99" t="s">
        <v>248</v>
      </c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</row>
    <row r="55" spans="1:12" x14ac:dyDescent="0.3">
      <c r="A55" s="104" t="s">
        <v>249</v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</row>
    <row r="56" spans="1:12" x14ac:dyDescent="0.3">
      <c r="A56" s="21" t="s">
        <v>250</v>
      </c>
      <c r="B56" s="21" t="s">
        <v>251</v>
      </c>
      <c r="C56" s="21" t="s">
        <v>131</v>
      </c>
      <c r="D56" s="21" t="s">
        <v>252</v>
      </c>
      <c r="E56" s="21" t="s">
        <v>4</v>
      </c>
      <c r="F56" s="21" t="s">
        <v>213</v>
      </c>
      <c r="G56" s="21" t="s">
        <v>134</v>
      </c>
      <c r="H56" s="21" t="s">
        <v>81</v>
      </c>
    </row>
    <row r="57" spans="1:12" ht="43.2" customHeight="1" x14ac:dyDescent="0.3">
      <c r="A57" s="50" t="s">
        <v>214</v>
      </c>
      <c r="B57" s="20" t="s">
        <v>253</v>
      </c>
      <c r="C57" s="17">
        <v>570.6</v>
      </c>
      <c r="D57" s="20" t="s">
        <v>107</v>
      </c>
      <c r="E57" s="20" t="s">
        <v>108</v>
      </c>
      <c r="F57" s="18" t="s">
        <v>218</v>
      </c>
      <c r="G57" s="17">
        <v>40</v>
      </c>
      <c r="H57" s="19" t="s">
        <v>254</v>
      </c>
    </row>
    <row r="58" spans="1:12" ht="57.6" customHeight="1" x14ac:dyDescent="0.3">
      <c r="A58" s="50" t="s">
        <v>214</v>
      </c>
      <c r="B58" s="20" t="s">
        <v>255</v>
      </c>
      <c r="C58" s="17">
        <v>400</v>
      </c>
      <c r="D58" s="20" t="s">
        <v>112</v>
      </c>
      <c r="E58" s="20" t="s">
        <v>113</v>
      </c>
      <c r="F58" s="18" t="s">
        <v>222</v>
      </c>
      <c r="G58" s="17"/>
      <c r="H58" s="19" t="s">
        <v>256</v>
      </c>
    </row>
    <row r="59" spans="1:12" ht="100.8" customHeight="1" x14ac:dyDescent="0.3">
      <c r="A59" s="51" t="s">
        <v>214</v>
      </c>
      <c r="B59" s="52" t="s">
        <v>257</v>
      </c>
      <c r="C59" s="53">
        <v>630</v>
      </c>
      <c r="D59" s="54" t="s">
        <v>258</v>
      </c>
      <c r="E59" s="54" t="s">
        <v>117</v>
      </c>
      <c r="F59" s="55" t="s">
        <v>218</v>
      </c>
      <c r="G59" s="53">
        <v>40</v>
      </c>
      <c r="H59" s="56" t="s">
        <v>259</v>
      </c>
    </row>
    <row r="60" spans="1:12" ht="72" customHeight="1" x14ac:dyDescent="0.3">
      <c r="A60" s="50" t="s">
        <v>223</v>
      </c>
      <c r="B60" s="20" t="s">
        <v>260</v>
      </c>
      <c r="C60" s="17">
        <v>785</v>
      </c>
      <c r="D60" s="20" t="s">
        <v>112</v>
      </c>
      <c r="E60" s="20" t="s">
        <v>113</v>
      </c>
      <c r="F60" s="18" t="s">
        <v>218</v>
      </c>
      <c r="G60" s="17">
        <v>39</v>
      </c>
      <c r="H60" s="19" t="s">
        <v>261</v>
      </c>
    </row>
    <row r="61" spans="1:12" ht="43.2" customHeight="1" x14ac:dyDescent="0.3">
      <c r="A61" s="50" t="s">
        <v>225</v>
      </c>
      <c r="B61" s="20" t="s">
        <v>262</v>
      </c>
      <c r="C61" s="17">
        <v>80</v>
      </c>
      <c r="D61" s="20" t="s">
        <v>112</v>
      </c>
      <c r="E61" s="20" t="s">
        <v>113</v>
      </c>
      <c r="F61" s="18" t="s">
        <v>226</v>
      </c>
      <c r="G61" s="17">
        <v>25</v>
      </c>
      <c r="H61" s="19" t="s">
        <v>263</v>
      </c>
    </row>
    <row r="62" spans="1:12" ht="100.8" customHeight="1" x14ac:dyDescent="0.3">
      <c r="A62" s="51" t="s">
        <v>225</v>
      </c>
      <c r="B62" s="52" t="s">
        <v>264</v>
      </c>
      <c r="C62" s="53">
        <v>200</v>
      </c>
      <c r="D62" s="54" t="s">
        <v>258</v>
      </c>
      <c r="E62" s="54" t="s">
        <v>115</v>
      </c>
      <c r="F62" s="55" t="s">
        <v>218</v>
      </c>
      <c r="G62" s="53">
        <v>40</v>
      </c>
      <c r="H62" s="56" t="s">
        <v>265</v>
      </c>
    </row>
    <row r="63" spans="1:12" ht="115.2" customHeight="1" x14ac:dyDescent="0.3">
      <c r="A63" s="57" t="s">
        <v>230</v>
      </c>
      <c r="B63" s="58" t="s">
        <v>266</v>
      </c>
      <c r="C63" s="59"/>
      <c r="D63" s="60"/>
      <c r="E63" s="60" t="s">
        <v>117</v>
      </c>
      <c r="F63" s="61" t="s">
        <v>267</v>
      </c>
      <c r="G63" s="59"/>
      <c r="H63" s="62" t="s">
        <v>268</v>
      </c>
    </row>
    <row r="64" spans="1:12" ht="43.2" customHeight="1" x14ac:dyDescent="0.3">
      <c r="A64" s="50" t="s">
        <v>215</v>
      </c>
      <c r="B64" s="20" t="s">
        <v>269</v>
      </c>
      <c r="C64" s="17">
        <v>98</v>
      </c>
      <c r="D64" s="20" t="s">
        <v>110</v>
      </c>
      <c r="E64" s="20" t="s">
        <v>111</v>
      </c>
      <c r="F64" s="18" t="s">
        <v>222</v>
      </c>
      <c r="G64" s="17">
        <v>20</v>
      </c>
      <c r="H64" s="19" t="s">
        <v>254</v>
      </c>
    </row>
    <row r="65" spans="1:8" ht="43.2" customHeight="1" x14ac:dyDescent="0.3">
      <c r="A65" s="50" t="s">
        <v>215</v>
      </c>
      <c r="B65" s="20" t="s">
        <v>270</v>
      </c>
      <c r="C65" s="17"/>
      <c r="D65" s="20" t="s">
        <v>107</v>
      </c>
      <c r="E65" s="20" t="s">
        <v>108</v>
      </c>
      <c r="F65" s="18" t="s">
        <v>218</v>
      </c>
      <c r="G65" s="17">
        <v>25</v>
      </c>
      <c r="H65" s="19" t="s">
        <v>271</v>
      </c>
    </row>
    <row r="66" spans="1:8" ht="100.8" customHeight="1" x14ac:dyDescent="0.3">
      <c r="A66" s="51" t="s">
        <v>215</v>
      </c>
      <c r="B66" s="52" t="s">
        <v>272</v>
      </c>
      <c r="C66" s="53">
        <v>679.6</v>
      </c>
      <c r="D66" s="54" t="s">
        <v>258</v>
      </c>
      <c r="E66" s="54" t="s">
        <v>108</v>
      </c>
      <c r="F66" s="55" t="s">
        <v>218</v>
      </c>
      <c r="G66" s="53">
        <v>40</v>
      </c>
      <c r="H66" s="56" t="s">
        <v>273</v>
      </c>
    </row>
    <row r="67" spans="1:8" ht="43.2" customHeight="1" x14ac:dyDescent="0.3">
      <c r="A67" s="50" t="s">
        <v>229</v>
      </c>
      <c r="B67" s="20" t="s">
        <v>274</v>
      </c>
      <c r="C67" s="17">
        <v>109</v>
      </c>
      <c r="D67" s="20" t="s">
        <v>107</v>
      </c>
      <c r="E67" s="20" t="s">
        <v>108</v>
      </c>
      <c r="F67" s="18" t="s">
        <v>226</v>
      </c>
      <c r="G67" s="17">
        <v>25</v>
      </c>
      <c r="H67" s="19" t="s">
        <v>254</v>
      </c>
    </row>
    <row r="68" spans="1:8" ht="115.2" customHeight="1" x14ac:dyDescent="0.3">
      <c r="A68" s="57" t="s">
        <v>229</v>
      </c>
      <c r="B68" s="58" t="s">
        <v>275</v>
      </c>
      <c r="C68" s="59"/>
      <c r="D68" s="60"/>
      <c r="E68" s="60" t="s">
        <v>115</v>
      </c>
      <c r="F68" s="61" t="s">
        <v>267</v>
      </c>
      <c r="G68" s="59"/>
      <c r="H68" s="62" t="s">
        <v>276</v>
      </c>
    </row>
    <row r="69" spans="1:8" ht="43.2" customHeight="1" x14ac:dyDescent="0.3">
      <c r="A69" s="50" t="s">
        <v>227</v>
      </c>
      <c r="B69" s="20" t="s">
        <v>277</v>
      </c>
      <c r="C69" s="17">
        <v>180</v>
      </c>
      <c r="D69" s="20" t="s">
        <v>110</v>
      </c>
      <c r="E69" s="20" t="s">
        <v>111</v>
      </c>
      <c r="F69" s="18" t="s">
        <v>226</v>
      </c>
      <c r="G69" s="17">
        <v>25</v>
      </c>
      <c r="H69" s="19" t="s">
        <v>254</v>
      </c>
    </row>
    <row r="70" spans="1:8" ht="57.6" customHeight="1" x14ac:dyDescent="0.3">
      <c r="A70" s="50" t="s">
        <v>227</v>
      </c>
      <c r="B70" s="20" t="s">
        <v>278</v>
      </c>
      <c r="C70" s="17">
        <v>200</v>
      </c>
      <c r="D70" s="20" t="s">
        <v>114</v>
      </c>
      <c r="E70" s="20" t="s">
        <v>115</v>
      </c>
      <c r="F70" s="18" t="s">
        <v>222</v>
      </c>
      <c r="G70" s="17"/>
      <c r="H70" s="19" t="s">
        <v>256</v>
      </c>
    </row>
    <row r="71" spans="1:8" ht="43.2" customHeight="1" x14ac:dyDescent="0.3">
      <c r="A71" s="50" t="s">
        <v>227</v>
      </c>
      <c r="B71" s="20" t="s">
        <v>279</v>
      </c>
      <c r="C71" s="17">
        <v>45</v>
      </c>
      <c r="D71" s="20" t="s">
        <v>110</v>
      </c>
      <c r="E71" s="20" t="s">
        <v>111</v>
      </c>
      <c r="F71" s="18" t="s">
        <v>226</v>
      </c>
      <c r="G71" s="17">
        <v>25</v>
      </c>
      <c r="H71" s="19" t="s">
        <v>280</v>
      </c>
    </row>
    <row r="72" spans="1:8" ht="72" customHeight="1" x14ac:dyDescent="0.3">
      <c r="A72" s="50" t="s">
        <v>227</v>
      </c>
      <c r="B72" s="20" t="s">
        <v>281</v>
      </c>
      <c r="C72" s="17">
        <v>600</v>
      </c>
      <c r="D72" s="20" t="s">
        <v>116</v>
      </c>
      <c r="E72" s="20" t="s">
        <v>117</v>
      </c>
      <c r="F72" s="18" t="s">
        <v>226</v>
      </c>
      <c r="G72" s="17">
        <v>25</v>
      </c>
      <c r="H72" s="19" t="s">
        <v>282</v>
      </c>
    </row>
    <row r="73" spans="1:8" ht="100.8" customHeight="1" x14ac:dyDescent="0.3">
      <c r="A73" s="51" t="s">
        <v>227</v>
      </c>
      <c r="B73" s="52" t="s">
        <v>283</v>
      </c>
      <c r="C73" s="53">
        <v>398</v>
      </c>
      <c r="D73" s="54" t="s">
        <v>258</v>
      </c>
      <c r="E73" s="54" t="s">
        <v>111</v>
      </c>
      <c r="F73" s="55" t="s">
        <v>218</v>
      </c>
      <c r="G73" s="53">
        <v>40</v>
      </c>
      <c r="H73" s="56" t="s">
        <v>284</v>
      </c>
    </row>
    <row r="74" spans="1:8" ht="115.2" customHeight="1" x14ac:dyDescent="0.3">
      <c r="A74" s="57" t="s">
        <v>216</v>
      </c>
      <c r="B74" s="58" t="s">
        <v>285</v>
      </c>
      <c r="C74" s="59"/>
      <c r="D74" s="60"/>
      <c r="E74" s="60" t="s">
        <v>108</v>
      </c>
      <c r="F74" s="61" t="s">
        <v>267</v>
      </c>
      <c r="G74" s="59"/>
      <c r="H74" s="62" t="s">
        <v>286</v>
      </c>
    </row>
    <row r="75" spans="1:8" ht="43.2" customHeight="1" x14ac:dyDescent="0.3">
      <c r="A75" s="50" t="s">
        <v>219</v>
      </c>
      <c r="B75" s="20" t="s">
        <v>287</v>
      </c>
      <c r="C75" s="17">
        <v>75</v>
      </c>
      <c r="D75" s="20" t="s">
        <v>110</v>
      </c>
      <c r="E75" s="20" t="s">
        <v>111</v>
      </c>
      <c r="F75" s="18" t="s">
        <v>222</v>
      </c>
      <c r="G75" s="17"/>
      <c r="H75" s="19" t="s">
        <v>288</v>
      </c>
    </row>
    <row r="76" spans="1:8" ht="57.6" customHeight="1" x14ac:dyDescent="0.3">
      <c r="A76" s="50" t="s">
        <v>219</v>
      </c>
      <c r="B76" s="20" t="s">
        <v>289</v>
      </c>
      <c r="C76" s="17">
        <v>30</v>
      </c>
      <c r="D76" s="20" t="s">
        <v>116</v>
      </c>
      <c r="E76" s="20" t="s">
        <v>117</v>
      </c>
      <c r="F76" s="18" t="s">
        <v>222</v>
      </c>
      <c r="G76" s="17"/>
      <c r="H76" s="19" t="s">
        <v>290</v>
      </c>
    </row>
    <row r="77" spans="1:8" ht="100.8" customHeight="1" x14ac:dyDescent="0.3">
      <c r="A77" s="51" t="s">
        <v>219</v>
      </c>
      <c r="B77" s="52" t="s">
        <v>291</v>
      </c>
      <c r="C77" s="53">
        <v>1265</v>
      </c>
      <c r="D77" s="54" t="s">
        <v>258</v>
      </c>
      <c r="E77" s="54" t="s">
        <v>113</v>
      </c>
      <c r="F77" s="55" t="s">
        <v>218</v>
      </c>
      <c r="G77" s="53">
        <v>40</v>
      </c>
      <c r="H77" s="56" t="s">
        <v>292</v>
      </c>
    </row>
    <row r="78" spans="1:8" ht="115.2" customHeight="1" x14ac:dyDescent="0.3">
      <c r="A78" s="57" t="s">
        <v>228</v>
      </c>
      <c r="B78" s="58" t="s">
        <v>293</v>
      </c>
      <c r="C78" s="59"/>
      <c r="D78" s="60"/>
      <c r="E78" s="60" t="s">
        <v>111</v>
      </c>
      <c r="F78" s="61" t="s">
        <v>267</v>
      </c>
      <c r="G78" s="59"/>
      <c r="H78" s="62" t="s">
        <v>294</v>
      </c>
    </row>
    <row r="79" spans="1:8" ht="115.2" customHeight="1" x14ac:dyDescent="0.3">
      <c r="A79" s="57" t="s">
        <v>220</v>
      </c>
      <c r="B79" s="58" t="s">
        <v>295</v>
      </c>
      <c r="C79" s="59"/>
      <c r="D79" s="60"/>
      <c r="E79" s="60" t="s">
        <v>113</v>
      </c>
      <c r="F79" s="61" t="s">
        <v>267</v>
      </c>
      <c r="G79" s="59"/>
      <c r="H79" s="62" t="s">
        <v>296</v>
      </c>
    </row>
  </sheetData>
  <mergeCells count="9">
    <mergeCell ref="A55:L55"/>
    <mergeCell ref="A4:L4"/>
    <mergeCell ref="A2:L2"/>
    <mergeCell ref="A54:L54"/>
    <mergeCell ref="A42:L42"/>
    <mergeCell ref="A43:L43"/>
    <mergeCell ref="A1:L1"/>
    <mergeCell ref="A23:L23"/>
    <mergeCell ref="A22:L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8"/>
  <sheetViews>
    <sheetView tabSelected="1" topLeftCell="A18" workbookViewId="0">
      <selection sqref="A1:P1"/>
    </sheetView>
  </sheetViews>
  <sheetFormatPr defaultRowHeight="14.4" x14ac:dyDescent="0.3"/>
  <cols>
    <col min="1" max="1" width="12" customWidth="1"/>
    <col min="2" max="16" width="11" customWidth="1"/>
  </cols>
  <sheetData>
    <row r="1" spans="1:16" ht="18" customHeight="1" x14ac:dyDescent="0.35">
      <c r="A1" s="93" t="s">
        <v>297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</row>
    <row r="2" spans="1:16" x14ac:dyDescent="0.3">
      <c r="A2" s="105" t="s">
        <v>298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</row>
    <row r="4" spans="1:16" ht="24.6" customHeight="1" x14ac:dyDescent="0.3">
      <c r="A4" s="80" t="s">
        <v>299</v>
      </c>
      <c r="B4" s="80" t="s">
        <v>300</v>
      </c>
      <c r="C4" s="80" t="s">
        <v>301</v>
      </c>
      <c r="D4" s="80" t="s">
        <v>302</v>
      </c>
      <c r="E4" s="80" t="s">
        <v>303</v>
      </c>
      <c r="F4" s="80" t="s">
        <v>304</v>
      </c>
      <c r="G4" s="80" t="s">
        <v>305</v>
      </c>
      <c r="H4" s="80" t="s">
        <v>306</v>
      </c>
      <c r="I4" s="80" t="s">
        <v>307</v>
      </c>
      <c r="J4" s="80" t="s">
        <v>308</v>
      </c>
      <c r="K4" s="80" t="s">
        <v>309</v>
      </c>
      <c r="L4" s="80" t="s">
        <v>310</v>
      </c>
      <c r="M4" s="9" t="s">
        <v>311</v>
      </c>
      <c r="N4" s="9" t="s">
        <v>312</v>
      </c>
      <c r="O4" s="9" t="s">
        <v>313</v>
      </c>
      <c r="P4" s="9" t="s">
        <v>314</v>
      </c>
    </row>
    <row r="5" spans="1:16" x14ac:dyDescent="0.3">
      <c r="A5" s="10" t="s">
        <v>315</v>
      </c>
    </row>
    <row r="6" spans="1:16" x14ac:dyDescent="0.3">
      <c r="A6" s="10" t="s">
        <v>316</v>
      </c>
    </row>
    <row r="7" spans="1:16" x14ac:dyDescent="0.3">
      <c r="A7" s="10" t="s">
        <v>317</v>
      </c>
    </row>
    <row r="8" spans="1:16" x14ac:dyDescent="0.3">
      <c r="A8" s="10" t="s">
        <v>318</v>
      </c>
    </row>
    <row r="9" spans="1:16" x14ac:dyDescent="0.3">
      <c r="A9" s="10" t="s">
        <v>319</v>
      </c>
    </row>
    <row r="10" spans="1:16" x14ac:dyDescent="0.3">
      <c r="A10" s="10" t="s">
        <v>320</v>
      </c>
    </row>
    <row r="11" spans="1:16" x14ac:dyDescent="0.3">
      <c r="A11" s="10" t="s">
        <v>321</v>
      </c>
    </row>
    <row r="12" spans="1:16" x14ac:dyDescent="0.3">
      <c r="A12" s="10" t="s">
        <v>322</v>
      </c>
    </row>
    <row r="13" spans="1:16" x14ac:dyDescent="0.3">
      <c r="A13" s="10" t="s">
        <v>323</v>
      </c>
    </row>
    <row r="14" spans="1:16" x14ac:dyDescent="0.3">
      <c r="A14" s="10" t="s">
        <v>324</v>
      </c>
    </row>
    <row r="15" spans="1:16" x14ac:dyDescent="0.3">
      <c r="A15" s="10" t="s">
        <v>325</v>
      </c>
    </row>
    <row r="16" spans="1:16" x14ac:dyDescent="0.3">
      <c r="A16" s="10" t="s">
        <v>326</v>
      </c>
    </row>
    <row r="18" spans="1:16" x14ac:dyDescent="0.3">
      <c r="A18" s="11" t="s">
        <v>327</v>
      </c>
    </row>
    <row r="19" spans="1:16" x14ac:dyDescent="0.3">
      <c r="A19" s="89" t="s">
        <v>328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</row>
    <row r="20" spans="1:16" x14ac:dyDescent="0.3">
      <c r="A20" s="89" t="s">
        <v>329</v>
      </c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</row>
    <row r="21" spans="1:16" x14ac:dyDescent="0.3">
      <c r="A21" s="89" t="s">
        <v>330</v>
      </c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</row>
    <row r="22" spans="1:16" x14ac:dyDescent="0.3">
      <c r="A22" s="89" t="s">
        <v>331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</row>
    <row r="23" spans="1:16" x14ac:dyDescent="0.3">
      <c r="A23" s="89" t="s">
        <v>332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</row>
    <row r="24" spans="1:16" x14ac:dyDescent="0.3">
      <c r="A24" s="89" t="s">
        <v>333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</row>
    <row r="25" spans="1:16" x14ac:dyDescent="0.3">
      <c r="A25" t="s">
        <v>334</v>
      </c>
      <c r="B25" t="e">
        <f>PurchaseBalance * (PurchaseAPR/12)</f>
        <v>#NAME?</v>
      </c>
    </row>
    <row r="26" spans="1:16" x14ac:dyDescent="0.3">
      <c r="A26" t="s">
        <v>335</v>
      </c>
      <c r="B26" t="e">
        <f>CashAdvanceBalance * (CashAdvanceAPR/12)</f>
        <v>#NAME?</v>
      </c>
    </row>
    <row r="27" spans="1:16" x14ac:dyDescent="0.3">
      <c r="A27" t="s">
        <v>336</v>
      </c>
      <c r="B27" t="e">
        <f>PurchaseInterest + CashAdvanceInterest</f>
        <v>#NAME?</v>
      </c>
    </row>
    <row r="28" spans="1:16" x14ac:dyDescent="0.3">
      <c r="A28" t="s">
        <v>337</v>
      </c>
      <c r="B28" t="e">
        <f>NewCAAmount * CAFee% + CAFlatFee</f>
        <v>#NAME?</v>
      </c>
    </row>
  </sheetData>
  <mergeCells count="8">
    <mergeCell ref="A24:P24"/>
    <mergeCell ref="A19:P19"/>
    <mergeCell ref="A1:P1"/>
    <mergeCell ref="A23:P23"/>
    <mergeCell ref="A2:P2"/>
    <mergeCell ref="A22:P22"/>
    <mergeCell ref="A20:P20"/>
    <mergeCell ref="A21:P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0"/>
  <sheetViews>
    <sheetView topLeftCell="A24" workbookViewId="0">
      <selection activeCell="J15" sqref="J15"/>
    </sheetView>
  </sheetViews>
  <sheetFormatPr defaultRowHeight="14.4" x14ac:dyDescent="0.3"/>
  <cols>
    <col min="1" max="1" width="10" customWidth="1"/>
    <col min="2" max="2" width="25" customWidth="1"/>
    <col min="3" max="4" width="13" customWidth="1"/>
    <col min="5" max="5" width="10" customWidth="1"/>
    <col min="6" max="6" width="12" customWidth="1"/>
  </cols>
  <sheetData>
    <row r="1" spans="1:6" ht="18" customHeight="1" x14ac:dyDescent="0.35">
      <c r="A1" s="108" t="s">
        <v>338</v>
      </c>
      <c r="B1" s="86"/>
      <c r="C1" s="86"/>
      <c r="D1" s="86"/>
      <c r="E1" s="86"/>
      <c r="F1" s="86"/>
    </row>
    <row r="2" spans="1:6" x14ac:dyDescent="0.3">
      <c r="A2" s="106" t="s">
        <v>339</v>
      </c>
      <c r="B2" s="86"/>
      <c r="C2" s="86"/>
      <c r="D2" s="86"/>
      <c r="E2" s="86"/>
      <c r="F2" s="86"/>
    </row>
    <row r="4" spans="1:6" ht="15.6" customHeight="1" x14ac:dyDescent="0.3">
      <c r="A4" s="107" t="s">
        <v>340</v>
      </c>
      <c r="B4" s="86"/>
      <c r="C4" s="86"/>
      <c r="D4" s="86"/>
      <c r="E4" s="86"/>
      <c r="F4" s="86"/>
    </row>
    <row r="5" spans="1:6" x14ac:dyDescent="0.3">
      <c r="A5" s="4" t="s">
        <v>341</v>
      </c>
      <c r="B5" s="4" t="s">
        <v>342</v>
      </c>
      <c r="C5" s="4" t="s">
        <v>343</v>
      </c>
      <c r="D5" s="4" t="s">
        <v>344</v>
      </c>
      <c r="E5" s="4" t="s">
        <v>345</v>
      </c>
      <c r="F5" s="4" t="s">
        <v>9</v>
      </c>
    </row>
    <row r="6" spans="1:6" x14ac:dyDescent="0.3">
      <c r="A6" s="10" t="s">
        <v>107</v>
      </c>
      <c r="B6" s="12" t="s">
        <v>346</v>
      </c>
      <c r="C6" s="6"/>
      <c r="D6" s="13"/>
      <c r="E6" s="5">
        <f>'Credit Cards'!F3</f>
        <v>21</v>
      </c>
      <c r="F6" s="5" t="s">
        <v>347</v>
      </c>
    </row>
    <row r="7" spans="1:6" x14ac:dyDescent="0.3">
      <c r="A7" s="10" t="s">
        <v>110</v>
      </c>
      <c r="B7" s="12" t="s">
        <v>346</v>
      </c>
      <c r="C7" s="6"/>
      <c r="D7" s="13"/>
      <c r="E7" s="5">
        <f>'Credit Cards'!F4</f>
        <v>8</v>
      </c>
      <c r="F7" s="5" t="s">
        <v>347</v>
      </c>
    </row>
    <row r="8" spans="1:6" x14ac:dyDescent="0.3">
      <c r="A8" s="10" t="s">
        <v>112</v>
      </c>
      <c r="B8" s="12" t="s">
        <v>346</v>
      </c>
      <c r="C8" s="6"/>
      <c r="D8" s="13"/>
      <c r="E8" s="5">
        <f>'Credit Cards'!F5</f>
        <v>25</v>
      </c>
      <c r="F8" s="5" t="s">
        <v>347</v>
      </c>
    </row>
    <row r="9" spans="1:6" x14ac:dyDescent="0.3">
      <c r="A9" s="10" t="s">
        <v>114</v>
      </c>
      <c r="B9" s="12" t="s">
        <v>346</v>
      </c>
      <c r="C9" s="6"/>
      <c r="D9" s="13"/>
      <c r="E9" s="5">
        <f>'Credit Cards'!F6</f>
        <v>8</v>
      </c>
      <c r="F9" s="5" t="s">
        <v>347</v>
      </c>
    </row>
    <row r="10" spans="1:6" x14ac:dyDescent="0.3">
      <c r="A10" s="10" t="s">
        <v>116</v>
      </c>
      <c r="B10" s="12" t="s">
        <v>346</v>
      </c>
      <c r="C10" s="6"/>
      <c r="D10" s="13"/>
      <c r="E10" s="5">
        <f>'Credit Cards'!F7</f>
        <v>25</v>
      </c>
      <c r="F10" s="5" t="s">
        <v>347</v>
      </c>
    </row>
    <row r="11" spans="1:6" x14ac:dyDescent="0.3">
      <c r="A11" s="14" t="s">
        <v>178</v>
      </c>
      <c r="D11" s="15"/>
    </row>
    <row r="13" spans="1:6" ht="15.6" customHeight="1" x14ac:dyDescent="0.3">
      <c r="A13" s="107" t="s">
        <v>348</v>
      </c>
      <c r="B13" s="86"/>
      <c r="C13" s="86"/>
      <c r="D13" s="86"/>
      <c r="E13" s="86"/>
      <c r="F13" s="86"/>
    </row>
    <row r="14" spans="1:6" x14ac:dyDescent="0.3">
      <c r="A14" s="4" t="s">
        <v>341</v>
      </c>
      <c r="B14" s="4" t="s">
        <v>342</v>
      </c>
      <c r="C14" s="4" t="s">
        <v>343</v>
      </c>
      <c r="D14" s="4" t="s">
        <v>344</v>
      </c>
      <c r="E14" s="4" t="s">
        <v>345</v>
      </c>
      <c r="F14" s="4" t="s">
        <v>9</v>
      </c>
    </row>
    <row r="15" spans="1:6" x14ac:dyDescent="0.3">
      <c r="A15" s="10" t="s">
        <v>107</v>
      </c>
      <c r="B15" s="12" t="s">
        <v>346</v>
      </c>
      <c r="C15" s="6"/>
      <c r="D15" s="13"/>
      <c r="E15" s="5">
        <f>'Credit Cards'!F3</f>
        <v>21</v>
      </c>
      <c r="F15" s="5" t="s">
        <v>347</v>
      </c>
    </row>
    <row r="16" spans="1:6" x14ac:dyDescent="0.3">
      <c r="A16" s="10" t="s">
        <v>110</v>
      </c>
      <c r="B16" s="12" t="s">
        <v>346</v>
      </c>
      <c r="C16" s="6"/>
      <c r="D16" s="13"/>
      <c r="E16" s="5">
        <f>'Credit Cards'!F4</f>
        <v>8</v>
      </c>
      <c r="F16" s="5" t="s">
        <v>347</v>
      </c>
    </row>
    <row r="17" spans="1:6" x14ac:dyDescent="0.3">
      <c r="A17" s="10" t="s">
        <v>112</v>
      </c>
      <c r="B17" s="12" t="s">
        <v>346</v>
      </c>
      <c r="C17" s="6"/>
      <c r="D17" s="13"/>
      <c r="E17" s="5">
        <f>'Credit Cards'!F5</f>
        <v>25</v>
      </c>
      <c r="F17" s="5" t="s">
        <v>347</v>
      </c>
    </row>
    <row r="18" spans="1:6" x14ac:dyDescent="0.3">
      <c r="A18" s="10" t="s">
        <v>114</v>
      </c>
      <c r="B18" s="12" t="s">
        <v>346</v>
      </c>
      <c r="C18" s="6"/>
      <c r="D18" s="13"/>
      <c r="E18" s="5">
        <f>'Credit Cards'!F6</f>
        <v>8</v>
      </c>
      <c r="F18" s="5" t="s">
        <v>347</v>
      </c>
    </row>
    <row r="19" spans="1:6" x14ac:dyDescent="0.3">
      <c r="A19" s="10" t="s">
        <v>116</v>
      </c>
      <c r="B19" s="12" t="s">
        <v>346</v>
      </c>
      <c r="C19" s="6"/>
      <c r="D19" s="13"/>
      <c r="E19" s="5">
        <f>'Credit Cards'!F7</f>
        <v>25</v>
      </c>
      <c r="F19" s="5" t="s">
        <v>347</v>
      </c>
    </row>
    <row r="20" spans="1:6" x14ac:dyDescent="0.3">
      <c r="A20" s="14" t="s">
        <v>178</v>
      </c>
      <c r="D20" s="15"/>
    </row>
    <row r="22" spans="1:6" ht="15.6" customHeight="1" x14ac:dyDescent="0.3">
      <c r="A22" s="107" t="s">
        <v>349</v>
      </c>
      <c r="B22" s="86"/>
      <c r="C22" s="86"/>
      <c r="D22" s="86"/>
      <c r="E22" s="86"/>
      <c r="F22" s="86"/>
    </row>
    <row r="23" spans="1:6" x14ac:dyDescent="0.3">
      <c r="A23" s="4" t="s">
        <v>341</v>
      </c>
      <c r="B23" s="4" t="s">
        <v>342</v>
      </c>
      <c r="C23" s="4" t="s">
        <v>343</v>
      </c>
      <c r="D23" s="4" t="s">
        <v>344</v>
      </c>
      <c r="E23" s="4" t="s">
        <v>345</v>
      </c>
      <c r="F23" s="4" t="s">
        <v>9</v>
      </c>
    </row>
    <row r="24" spans="1:6" x14ac:dyDescent="0.3">
      <c r="A24" s="10" t="s">
        <v>107</v>
      </c>
      <c r="B24" s="12" t="s">
        <v>346</v>
      </c>
      <c r="C24" s="6"/>
      <c r="D24" s="13"/>
      <c r="E24" s="5">
        <f>'Credit Cards'!F3</f>
        <v>21</v>
      </c>
      <c r="F24" s="5" t="s">
        <v>347</v>
      </c>
    </row>
    <row r="25" spans="1:6" x14ac:dyDescent="0.3">
      <c r="A25" s="10" t="s">
        <v>110</v>
      </c>
      <c r="B25" s="12" t="s">
        <v>346</v>
      </c>
      <c r="C25" s="6"/>
      <c r="D25" s="13"/>
      <c r="E25" s="5">
        <f>'Credit Cards'!F4</f>
        <v>8</v>
      </c>
      <c r="F25" s="5" t="s">
        <v>347</v>
      </c>
    </row>
    <row r="26" spans="1:6" x14ac:dyDescent="0.3">
      <c r="A26" s="10" t="s">
        <v>112</v>
      </c>
      <c r="B26" s="12" t="s">
        <v>346</v>
      </c>
      <c r="C26" s="6"/>
      <c r="D26" s="13"/>
      <c r="E26" s="5">
        <f>'Credit Cards'!F5</f>
        <v>25</v>
      </c>
      <c r="F26" s="5" t="s">
        <v>347</v>
      </c>
    </row>
    <row r="27" spans="1:6" x14ac:dyDescent="0.3">
      <c r="A27" s="10" t="s">
        <v>114</v>
      </c>
      <c r="B27" s="12" t="s">
        <v>346</v>
      </c>
      <c r="C27" s="6"/>
      <c r="D27" s="13"/>
      <c r="E27" s="5">
        <f>'Credit Cards'!F6</f>
        <v>8</v>
      </c>
      <c r="F27" s="5" t="s">
        <v>347</v>
      </c>
    </row>
    <row r="28" spans="1:6" x14ac:dyDescent="0.3">
      <c r="A28" s="10" t="s">
        <v>116</v>
      </c>
      <c r="B28" s="12" t="s">
        <v>346</v>
      </c>
      <c r="C28" s="6"/>
      <c r="D28" s="13"/>
      <c r="E28" s="5">
        <f>'Credit Cards'!F7</f>
        <v>25</v>
      </c>
      <c r="F28" s="5" t="s">
        <v>347</v>
      </c>
    </row>
    <row r="29" spans="1:6" x14ac:dyDescent="0.3">
      <c r="A29" s="14" t="s">
        <v>178</v>
      </c>
      <c r="D29" s="15"/>
    </row>
    <row r="31" spans="1:6" ht="15.6" customHeight="1" x14ac:dyDescent="0.3">
      <c r="A31" s="107" t="s">
        <v>350</v>
      </c>
      <c r="B31" s="86"/>
      <c r="C31" s="86"/>
      <c r="D31" s="86"/>
      <c r="E31" s="86"/>
      <c r="F31" s="86"/>
    </row>
    <row r="32" spans="1:6" x14ac:dyDescent="0.3">
      <c r="A32" s="4" t="s">
        <v>341</v>
      </c>
      <c r="B32" s="4" t="s">
        <v>342</v>
      </c>
      <c r="C32" s="4" t="s">
        <v>343</v>
      </c>
      <c r="D32" s="4" t="s">
        <v>344</v>
      </c>
      <c r="E32" s="4" t="s">
        <v>345</v>
      </c>
      <c r="F32" s="4" t="s">
        <v>9</v>
      </c>
    </row>
    <row r="33" spans="1:6" x14ac:dyDescent="0.3">
      <c r="A33" s="10" t="s">
        <v>107</v>
      </c>
      <c r="B33" s="12" t="s">
        <v>346</v>
      </c>
      <c r="C33" s="6"/>
      <c r="D33" s="13"/>
      <c r="E33" s="5">
        <f>'Credit Cards'!F3</f>
        <v>21</v>
      </c>
      <c r="F33" s="5" t="s">
        <v>347</v>
      </c>
    </row>
    <row r="34" spans="1:6" x14ac:dyDescent="0.3">
      <c r="A34" s="10" t="s">
        <v>110</v>
      </c>
      <c r="B34" s="12" t="s">
        <v>346</v>
      </c>
      <c r="C34" s="6"/>
      <c r="D34" s="13"/>
      <c r="E34" s="5">
        <f>'Credit Cards'!F4</f>
        <v>8</v>
      </c>
      <c r="F34" s="5" t="s">
        <v>347</v>
      </c>
    </row>
    <row r="35" spans="1:6" x14ac:dyDescent="0.3">
      <c r="A35" s="10" t="s">
        <v>112</v>
      </c>
      <c r="B35" s="12" t="s">
        <v>346</v>
      </c>
      <c r="C35" s="6"/>
      <c r="D35" s="13"/>
      <c r="E35" s="5">
        <f>'Credit Cards'!F5</f>
        <v>25</v>
      </c>
      <c r="F35" s="5" t="s">
        <v>347</v>
      </c>
    </row>
    <row r="36" spans="1:6" x14ac:dyDescent="0.3">
      <c r="A36" s="10" t="s">
        <v>114</v>
      </c>
      <c r="B36" s="12" t="s">
        <v>346</v>
      </c>
      <c r="C36" s="6"/>
      <c r="D36" s="13"/>
      <c r="E36" s="5">
        <f>'Credit Cards'!F6</f>
        <v>8</v>
      </c>
      <c r="F36" s="5" t="s">
        <v>347</v>
      </c>
    </row>
    <row r="37" spans="1:6" x14ac:dyDescent="0.3">
      <c r="A37" s="10" t="s">
        <v>116</v>
      </c>
      <c r="B37" s="12" t="s">
        <v>346</v>
      </c>
      <c r="C37" s="6"/>
      <c r="D37" s="13"/>
      <c r="E37" s="5">
        <f>'Credit Cards'!F7</f>
        <v>25</v>
      </c>
      <c r="F37" s="5" t="s">
        <v>347</v>
      </c>
    </row>
    <row r="38" spans="1:6" x14ac:dyDescent="0.3">
      <c r="A38" s="14" t="s">
        <v>178</v>
      </c>
      <c r="D38" s="15"/>
    </row>
    <row r="40" spans="1:6" ht="15.6" customHeight="1" x14ac:dyDescent="0.3">
      <c r="A40" s="107" t="s">
        <v>351</v>
      </c>
      <c r="B40" s="86"/>
      <c r="C40" s="86"/>
      <c r="D40" s="86"/>
      <c r="E40" s="86"/>
      <c r="F40" s="86"/>
    </row>
    <row r="41" spans="1:6" x14ac:dyDescent="0.3">
      <c r="A41" s="4" t="s">
        <v>341</v>
      </c>
      <c r="B41" s="4" t="s">
        <v>342</v>
      </c>
      <c r="C41" s="4" t="s">
        <v>343</v>
      </c>
      <c r="D41" s="4" t="s">
        <v>344</v>
      </c>
      <c r="E41" s="4" t="s">
        <v>345</v>
      </c>
      <c r="F41" s="4" t="s">
        <v>9</v>
      </c>
    </row>
    <row r="42" spans="1:6" x14ac:dyDescent="0.3">
      <c r="A42" s="10" t="s">
        <v>107</v>
      </c>
      <c r="B42" s="12" t="s">
        <v>346</v>
      </c>
      <c r="C42" s="6"/>
      <c r="D42" s="13"/>
      <c r="E42" s="5">
        <f>'Credit Cards'!F3</f>
        <v>21</v>
      </c>
      <c r="F42" s="5" t="s">
        <v>347</v>
      </c>
    </row>
    <row r="43" spans="1:6" x14ac:dyDescent="0.3">
      <c r="A43" s="10" t="s">
        <v>110</v>
      </c>
      <c r="B43" s="12" t="s">
        <v>346</v>
      </c>
      <c r="C43" s="6"/>
      <c r="D43" s="13"/>
      <c r="E43" s="5">
        <f>'Credit Cards'!F4</f>
        <v>8</v>
      </c>
      <c r="F43" s="5" t="s">
        <v>347</v>
      </c>
    </row>
    <row r="44" spans="1:6" x14ac:dyDescent="0.3">
      <c r="A44" s="10" t="s">
        <v>112</v>
      </c>
      <c r="B44" s="12" t="s">
        <v>346</v>
      </c>
      <c r="C44" s="6"/>
      <c r="D44" s="13"/>
      <c r="E44" s="5">
        <f>'Credit Cards'!F5</f>
        <v>25</v>
      </c>
      <c r="F44" s="5" t="s">
        <v>347</v>
      </c>
    </row>
    <row r="45" spans="1:6" x14ac:dyDescent="0.3">
      <c r="A45" s="10" t="s">
        <v>114</v>
      </c>
      <c r="B45" s="12" t="s">
        <v>346</v>
      </c>
      <c r="C45" s="6"/>
      <c r="D45" s="13"/>
      <c r="E45" s="5">
        <f>'Credit Cards'!F6</f>
        <v>8</v>
      </c>
      <c r="F45" s="5" t="s">
        <v>347</v>
      </c>
    </row>
    <row r="46" spans="1:6" x14ac:dyDescent="0.3">
      <c r="A46" s="10" t="s">
        <v>116</v>
      </c>
      <c r="B46" s="12" t="s">
        <v>346</v>
      </c>
      <c r="C46" s="6"/>
      <c r="D46" s="13"/>
      <c r="E46" s="5">
        <f>'Credit Cards'!F7</f>
        <v>25</v>
      </c>
      <c r="F46" s="5" t="s">
        <v>347</v>
      </c>
    </row>
    <row r="47" spans="1:6" x14ac:dyDescent="0.3">
      <c r="A47" s="14" t="s">
        <v>178</v>
      </c>
      <c r="D47" s="15"/>
    </row>
    <row r="49" spans="1:6" ht="15.6" customHeight="1" x14ac:dyDescent="0.3">
      <c r="A49" s="107" t="s">
        <v>352</v>
      </c>
      <c r="B49" s="86"/>
      <c r="C49" s="86"/>
      <c r="D49" s="86"/>
      <c r="E49" s="86"/>
      <c r="F49" s="86"/>
    </row>
    <row r="50" spans="1:6" x14ac:dyDescent="0.3">
      <c r="A50" s="4" t="s">
        <v>341</v>
      </c>
      <c r="B50" s="4" t="s">
        <v>342</v>
      </c>
      <c r="C50" s="4" t="s">
        <v>343</v>
      </c>
      <c r="D50" s="4" t="s">
        <v>344</v>
      </c>
      <c r="E50" s="4" t="s">
        <v>345</v>
      </c>
      <c r="F50" s="4" t="s">
        <v>9</v>
      </c>
    </row>
    <row r="51" spans="1:6" x14ac:dyDescent="0.3">
      <c r="A51" s="10" t="s">
        <v>107</v>
      </c>
      <c r="B51" s="12" t="s">
        <v>346</v>
      </c>
      <c r="C51" s="6"/>
      <c r="D51" s="13"/>
      <c r="E51" s="5">
        <f>'Credit Cards'!F3</f>
        <v>21</v>
      </c>
      <c r="F51" s="5" t="s">
        <v>347</v>
      </c>
    </row>
    <row r="52" spans="1:6" x14ac:dyDescent="0.3">
      <c r="A52" s="10" t="s">
        <v>110</v>
      </c>
      <c r="B52" s="12" t="s">
        <v>346</v>
      </c>
      <c r="C52" s="6"/>
      <c r="D52" s="13"/>
      <c r="E52" s="5">
        <f>'Credit Cards'!F4</f>
        <v>8</v>
      </c>
      <c r="F52" s="5" t="s">
        <v>347</v>
      </c>
    </row>
    <row r="53" spans="1:6" x14ac:dyDescent="0.3">
      <c r="A53" s="10" t="s">
        <v>112</v>
      </c>
      <c r="B53" s="12" t="s">
        <v>346</v>
      </c>
      <c r="C53" s="6"/>
      <c r="D53" s="13"/>
      <c r="E53" s="5">
        <f>'Credit Cards'!F5</f>
        <v>25</v>
      </c>
      <c r="F53" s="5" t="s">
        <v>347</v>
      </c>
    </row>
    <row r="54" spans="1:6" x14ac:dyDescent="0.3">
      <c r="A54" s="10" t="s">
        <v>114</v>
      </c>
      <c r="B54" s="12" t="s">
        <v>346</v>
      </c>
      <c r="C54" s="6"/>
      <c r="D54" s="13"/>
      <c r="E54" s="5">
        <f>'Credit Cards'!F6</f>
        <v>8</v>
      </c>
      <c r="F54" s="5" t="s">
        <v>347</v>
      </c>
    </row>
    <row r="55" spans="1:6" x14ac:dyDescent="0.3">
      <c r="A55" s="10" t="s">
        <v>116</v>
      </c>
      <c r="B55" s="12" t="s">
        <v>346</v>
      </c>
      <c r="C55" s="6"/>
      <c r="D55" s="13"/>
      <c r="E55" s="5">
        <f>'Credit Cards'!F7</f>
        <v>25</v>
      </c>
      <c r="F55" s="5" t="s">
        <v>347</v>
      </c>
    </row>
    <row r="56" spans="1:6" x14ac:dyDescent="0.3">
      <c r="A56" s="14" t="s">
        <v>178</v>
      </c>
      <c r="D56" s="15"/>
    </row>
    <row r="58" spans="1:6" ht="15.6" customHeight="1" x14ac:dyDescent="0.3">
      <c r="A58" s="107" t="s">
        <v>353</v>
      </c>
      <c r="B58" s="86"/>
      <c r="C58" s="86"/>
      <c r="D58" s="86"/>
      <c r="E58" s="86"/>
      <c r="F58" s="86"/>
    </row>
    <row r="59" spans="1:6" x14ac:dyDescent="0.3">
      <c r="A59" s="4" t="s">
        <v>341</v>
      </c>
      <c r="B59" s="4" t="s">
        <v>342</v>
      </c>
      <c r="C59" s="4" t="s">
        <v>343</v>
      </c>
      <c r="D59" s="4" t="s">
        <v>344</v>
      </c>
      <c r="E59" s="4" t="s">
        <v>345</v>
      </c>
      <c r="F59" s="4" t="s">
        <v>9</v>
      </c>
    </row>
    <row r="60" spans="1:6" x14ac:dyDescent="0.3">
      <c r="A60" s="10" t="s">
        <v>107</v>
      </c>
      <c r="B60" s="12" t="s">
        <v>346</v>
      </c>
      <c r="C60" s="6"/>
      <c r="D60" s="13"/>
      <c r="E60" s="5">
        <f>'Credit Cards'!F3</f>
        <v>21</v>
      </c>
      <c r="F60" s="5" t="s">
        <v>347</v>
      </c>
    </row>
    <row r="61" spans="1:6" x14ac:dyDescent="0.3">
      <c r="A61" s="10" t="s">
        <v>110</v>
      </c>
      <c r="B61" s="12" t="s">
        <v>346</v>
      </c>
      <c r="C61" s="6"/>
      <c r="D61" s="13"/>
      <c r="E61" s="5">
        <f>'Credit Cards'!F4</f>
        <v>8</v>
      </c>
      <c r="F61" s="5" t="s">
        <v>347</v>
      </c>
    </row>
    <row r="62" spans="1:6" x14ac:dyDescent="0.3">
      <c r="A62" s="10" t="s">
        <v>112</v>
      </c>
      <c r="B62" s="12" t="s">
        <v>346</v>
      </c>
      <c r="C62" s="6"/>
      <c r="D62" s="13"/>
      <c r="E62" s="5">
        <f>'Credit Cards'!F5</f>
        <v>25</v>
      </c>
      <c r="F62" s="5" t="s">
        <v>347</v>
      </c>
    </row>
    <row r="63" spans="1:6" x14ac:dyDescent="0.3">
      <c r="A63" s="10" t="s">
        <v>114</v>
      </c>
      <c r="B63" s="12" t="s">
        <v>346</v>
      </c>
      <c r="C63" s="6"/>
      <c r="D63" s="13"/>
      <c r="E63" s="5">
        <f>'Credit Cards'!F6</f>
        <v>8</v>
      </c>
      <c r="F63" s="5" t="s">
        <v>347</v>
      </c>
    </row>
    <row r="64" spans="1:6" x14ac:dyDescent="0.3">
      <c r="A64" s="10" t="s">
        <v>116</v>
      </c>
      <c r="B64" s="12" t="s">
        <v>346</v>
      </c>
      <c r="C64" s="6"/>
      <c r="D64" s="13"/>
      <c r="E64" s="5">
        <f>'Credit Cards'!F7</f>
        <v>25</v>
      </c>
      <c r="F64" s="5" t="s">
        <v>347</v>
      </c>
    </row>
    <row r="65" spans="1:6" x14ac:dyDescent="0.3">
      <c r="A65" s="14" t="s">
        <v>178</v>
      </c>
      <c r="D65" s="15"/>
    </row>
    <row r="67" spans="1:6" ht="15.6" customHeight="1" x14ac:dyDescent="0.3">
      <c r="A67" s="107" t="s">
        <v>354</v>
      </c>
      <c r="B67" s="86"/>
      <c r="C67" s="86"/>
      <c r="D67" s="86"/>
      <c r="E67" s="86"/>
      <c r="F67" s="86"/>
    </row>
    <row r="68" spans="1:6" x14ac:dyDescent="0.3">
      <c r="A68" s="4" t="s">
        <v>341</v>
      </c>
      <c r="B68" s="4" t="s">
        <v>342</v>
      </c>
      <c r="C68" s="4" t="s">
        <v>343</v>
      </c>
      <c r="D68" s="4" t="s">
        <v>344</v>
      </c>
      <c r="E68" s="4" t="s">
        <v>345</v>
      </c>
      <c r="F68" s="4" t="s">
        <v>9</v>
      </c>
    </row>
    <row r="69" spans="1:6" x14ac:dyDescent="0.3">
      <c r="A69" s="10" t="s">
        <v>107</v>
      </c>
      <c r="B69" s="12" t="s">
        <v>346</v>
      </c>
      <c r="C69" s="6"/>
      <c r="D69" s="13"/>
      <c r="E69" s="5">
        <f>'Credit Cards'!F3</f>
        <v>21</v>
      </c>
      <c r="F69" s="5" t="s">
        <v>347</v>
      </c>
    </row>
    <row r="70" spans="1:6" x14ac:dyDescent="0.3">
      <c r="A70" s="10" t="s">
        <v>110</v>
      </c>
      <c r="B70" s="12" t="s">
        <v>346</v>
      </c>
      <c r="C70" s="6"/>
      <c r="D70" s="13"/>
      <c r="E70" s="5">
        <f>'Credit Cards'!F4</f>
        <v>8</v>
      </c>
      <c r="F70" s="5" t="s">
        <v>347</v>
      </c>
    </row>
    <row r="71" spans="1:6" x14ac:dyDescent="0.3">
      <c r="A71" s="10" t="s">
        <v>112</v>
      </c>
      <c r="B71" s="12" t="s">
        <v>346</v>
      </c>
      <c r="C71" s="6"/>
      <c r="D71" s="13"/>
      <c r="E71" s="5">
        <f>'Credit Cards'!F5</f>
        <v>25</v>
      </c>
      <c r="F71" s="5" t="s">
        <v>347</v>
      </c>
    </row>
    <row r="72" spans="1:6" x14ac:dyDescent="0.3">
      <c r="A72" s="10" t="s">
        <v>114</v>
      </c>
      <c r="B72" s="12" t="s">
        <v>346</v>
      </c>
      <c r="C72" s="6"/>
      <c r="D72" s="13"/>
      <c r="E72" s="5">
        <f>'Credit Cards'!F6</f>
        <v>8</v>
      </c>
      <c r="F72" s="5" t="s">
        <v>347</v>
      </c>
    </row>
    <row r="73" spans="1:6" x14ac:dyDescent="0.3">
      <c r="A73" s="10" t="s">
        <v>116</v>
      </c>
      <c r="B73" s="12" t="s">
        <v>346</v>
      </c>
      <c r="C73" s="6"/>
      <c r="D73" s="13"/>
      <c r="E73" s="5">
        <f>'Credit Cards'!F7</f>
        <v>25</v>
      </c>
      <c r="F73" s="5" t="s">
        <v>347</v>
      </c>
    </row>
    <row r="74" spans="1:6" x14ac:dyDescent="0.3">
      <c r="A74" s="14" t="s">
        <v>178</v>
      </c>
      <c r="D74" s="15"/>
    </row>
    <row r="76" spans="1:6" ht="15.6" customHeight="1" x14ac:dyDescent="0.3">
      <c r="A76" s="107" t="s">
        <v>355</v>
      </c>
      <c r="B76" s="86"/>
      <c r="C76" s="86"/>
      <c r="D76" s="86"/>
      <c r="E76" s="86"/>
      <c r="F76" s="86"/>
    </row>
    <row r="77" spans="1:6" x14ac:dyDescent="0.3">
      <c r="A77" s="4" t="s">
        <v>341</v>
      </c>
      <c r="B77" s="4" t="s">
        <v>342</v>
      </c>
      <c r="C77" s="4" t="s">
        <v>343</v>
      </c>
      <c r="D77" s="4" t="s">
        <v>344</v>
      </c>
      <c r="E77" s="4" t="s">
        <v>345</v>
      </c>
      <c r="F77" s="4" t="s">
        <v>9</v>
      </c>
    </row>
    <row r="78" spans="1:6" x14ac:dyDescent="0.3">
      <c r="A78" s="10" t="s">
        <v>107</v>
      </c>
      <c r="B78" s="12" t="s">
        <v>346</v>
      </c>
      <c r="C78" s="6"/>
      <c r="D78" s="13"/>
      <c r="E78" s="5">
        <f>'Credit Cards'!F3</f>
        <v>21</v>
      </c>
      <c r="F78" s="5" t="s">
        <v>347</v>
      </c>
    </row>
    <row r="79" spans="1:6" x14ac:dyDescent="0.3">
      <c r="A79" s="10" t="s">
        <v>110</v>
      </c>
      <c r="B79" s="12" t="s">
        <v>346</v>
      </c>
      <c r="C79" s="6"/>
      <c r="D79" s="13"/>
      <c r="E79" s="5">
        <f>'Credit Cards'!F4</f>
        <v>8</v>
      </c>
      <c r="F79" s="5" t="s">
        <v>347</v>
      </c>
    </row>
    <row r="80" spans="1:6" x14ac:dyDescent="0.3">
      <c r="A80" s="10" t="s">
        <v>112</v>
      </c>
      <c r="B80" s="12" t="s">
        <v>346</v>
      </c>
      <c r="C80" s="6"/>
      <c r="D80" s="13"/>
      <c r="E80" s="5">
        <f>'Credit Cards'!F5</f>
        <v>25</v>
      </c>
      <c r="F80" s="5" t="s">
        <v>347</v>
      </c>
    </row>
    <row r="81" spans="1:6" x14ac:dyDescent="0.3">
      <c r="A81" s="10" t="s">
        <v>114</v>
      </c>
      <c r="B81" s="12" t="s">
        <v>346</v>
      </c>
      <c r="C81" s="6"/>
      <c r="D81" s="13"/>
      <c r="E81" s="5">
        <f>'Credit Cards'!F6</f>
        <v>8</v>
      </c>
      <c r="F81" s="5" t="s">
        <v>347</v>
      </c>
    </row>
    <row r="82" spans="1:6" x14ac:dyDescent="0.3">
      <c r="A82" s="10" t="s">
        <v>116</v>
      </c>
      <c r="B82" s="12" t="s">
        <v>346</v>
      </c>
      <c r="C82" s="6"/>
      <c r="D82" s="13"/>
      <c r="E82" s="5">
        <f>'Credit Cards'!F7</f>
        <v>25</v>
      </c>
      <c r="F82" s="5" t="s">
        <v>347</v>
      </c>
    </row>
    <row r="83" spans="1:6" x14ac:dyDescent="0.3">
      <c r="A83" s="14" t="s">
        <v>178</v>
      </c>
      <c r="D83" s="15"/>
    </row>
    <row r="85" spans="1:6" ht="15.6" customHeight="1" x14ac:dyDescent="0.3">
      <c r="A85" s="107" t="s">
        <v>356</v>
      </c>
      <c r="B85" s="86"/>
      <c r="C85" s="86"/>
      <c r="D85" s="86"/>
      <c r="E85" s="86"/>
      <c r="F85" s="86"/>
    </row>
    <row r="86" spans="1:6" x14ac:dyDescent="0.3">
      <c r="A86" s="4" t="s">
        <v>341</v>
      </c>
      <c r="B86" s="4" t="s">
        <v>342</v>
      </c>
      <c r="C86" s="4" t="s">
        <v>343</v>
      </c>
      <c r="D86" s="4" t="s">
        <v>344</v>
      </c>
      <c r="E86" s="4" t="s">
        <v>345</v>
      </c>
      <c r="F86" s="4" t="s">
        <v>9</v>
      </c>
    </row>
    <row r="87" spans="1:6" x14ac:dyDescent="0.3">
      <c r="A87" s="10" t="s">
        <v>107</v>
      </c>
      <c r="B87" s="12" t="s">
        <v>346</v>
      </c>
      <c r="C87" s="6"/>
      <c r="D87" s="13"/>
      <c r="E87" s="5">
        <f>'Credit Cards'!F3</f>
        <v>21</v>
      </c>
      <c r="F87" s="5" t="s">
        <v>347</v>
      </c>
    </row>
    <row r="88" spans="1:6" x14ac:dyDescent="0.3">
      <c r="A88" s="10" t="s">
        <v>110</v>
      </c>
      <c r="B88" s="12" t="s">
        <v>346</v>
      </c>
      <c r="C88" s="6"/>
      <c r="D88" s="13"/>
      <c r="E88" s="5">
        <f>'Credit Cards'!F4</f>
        <v>8</v>
      </c>
      <c r="F88" s="5" t="s">
        <v>347</v>
      </c>
    </row>
    <row r="89" spans="1:6" x14ac:dyDescent="0.3">
      <c r="A89" s="10" t="s">
        <v>112</v>
      </c>
      <c r="B89" s="12" t="s">
        <v>346</v>
      </c>
      <c r="C89" s="6"/>
      <c r="D89" s="13"/>
      <c r="E89" s="5">
        <f>'Credit Cards'!F5</f>
        <v>25</v>
      </c>
      <c r="F89" s="5" t="s">
        <v>347</v>
      </c>
    </row>
    <row r="90" spans="1:6" x14ac:dyDescent="0.3">
      <c r="A90" s="10" t="s">
        <v>114</v>
      </c>
      <c r="B90" s="12" t="s">
        <v>346</v>
      </c>
      <c r="C90" s="6"/>
      <c r="D90" s="13"/>
      <c r="E90" s="5">
        <f>'Credit Cards'!F6</f>
        <v>8</v>
      </c>
      <c r="F90" s="5" t="s">
        <v>347</v>
      </c>
    </row>
    <row r="91" spans="1:6" x14ac:dyDescent="0.3">
      <c r="A91" s="10" t="s">
        <v>116</v>
      </c>
      <c r="B91" s="12" t="s">
        <v>346</v>
      </c>
      <c r="C91" s="6"/>
      <c r="D91" s="13"/>
      <c r="E91" s="5">
        <f>'Credit Cards'!F7</f>
        <v>25</v>
      </c>
      <c r="F91" s="5" t="s">
        <v>347</v>
      </c>
    </row>
    <row r="92" spans="1:6" x14ac:dyDescent="0.3">
      <c r="A92" s="14" t="s">
        <v>178</v>
      </c>
      <c r="D92" s="15"/>
    </row>
    <row r="94" spans="1:6" ht="15.6" customHeight="1" x14ac:dyDescent="0.3">
      <c r="A94" s="107" t="s">
        <v>357</v>
      </c>
      <c r="B94" s="86"/>
      <c r="C94" s="86"/>
      <c r="D94" s="86"/>
      <c r="E94" s="86"/>
      <c r="F94" s="86"/>
    </row>
    <row r="95" spans="1:6" x14ac:dyDescent="0.3">
      <c r="A95" s="4" t="s">
        <v>341</v>
      </c>
      <c r="B95" s="4" t="s">
        <v>342</v>
      </c>
      <c r="C95" s="4" t="s">
        <v>343</v>
      </c>
      <c r="D95" s="4" t="s">
        <v>344</v>
      </c>
      <c r="E95" s="4" t="s">
        <v>345</v>
      </c>
      <c r="F95" s="4" t="s">
        <v>9</v>
      </c>
    </row>
    <row r="96" spans="1:6" x14ac:dyDescent="0.3">
      <c r="A96" s="10" t="s">
        <v>107</v>
      </c>
      <c r="B96" s="12" t="s">
        <v>346</v>
      </c>
      <c r="C96" s="6"/>
      <c r="D96" s="13"/>
      <c r="E96" s="5">
        <f>'Credit Cards'!F3</f>
        <v>21</v>
      </c>
      <c r="F96" s="5" t="s">
        <v>347</v>
      </c>
    </row>
    <row r="97" spans="1:6" x14ac:dyDescent="0.3">
      <c r="A97" s="10" t="s">
        <v>110</v>
      </c>
      <c r="B97" s="12" t="s">
        <v>346</v>
      </c>
      <c r="C97" s="6"/>
      <c r="D97" s="13"/>
      <c r="E97" s="5">
        <f>'Credit Cards'!F4</f>
        <v>8</v>
      </c>
      <c r="F97" s="5" t="s">
        <v>347</v>
      </c>
    </row>
    <row r="98" spans="1:6" x14ac:dyDescent="0.3">
      <c r="A98" s="10" t="s">
        <v>112</v>
      </c>
      <c r="B98" s="12" t="s">
        <v>346</v>
      </c>
      <c r="C98" s="6"/>
      <c r="D98" s="13"/>
      <c r="E98" s="5">
        <f>'Credit Cards'!F5</f>
        <v>25</v>
      </c>
      <c r="F98" s="5" t="s">
        <v>347</v>
      </c>
    </row>
    <row r="99" spans="1:6" x14ac:dyDescent="0.3">
      <c r="A99" s="10" t="s">
        <v>114</v>
      </c>
      <c r="B99" s="12" t="s">
        <v>346</v>
      </c>
      <c r="C99" s="6"/>
      <c r="D99" s="13"/>
      <c r="E99" s="5">
        <f>'Credit Cards'!F6</f>
        <v>8</v>
      </c>
      <c r="F99" s="5" t="s">
        <v>347</v>
      </c>
    </row>
    <row r="100" spans="1:6" x14ac:dyDescent="0.3">
      <c r="A100" s="10" t="s">
        <v>116</v>
      </c>
      <c r="B100" s="12" t="s">
        <v>346</v>
      </c>
      <c r="C100" s="6"/>
      <c r="D100" s="13"/>
      <c r="E100" s="5">
        <f>'Credit Cards'!F7</f>
        <v>25</v>
      </c>
      <c r="F100" s="5" t="s">
        <v>347</v>
      </c>
    </row>
    <row r="101" spans="1:6" x14ac:dyDescent="0.3">
      <c r="A101" s="14" t="s">
        <v>178</v>
      </c>
      <c r="D101" s="15"/>
    </row>
    <row r="103" spans="1:6" ht="15.6" customHeight="1" x14ac:dyDescent="0.3">
      <c r="A103" s="107" t="s">
        <v>358</v>
      </c>
      <c r="B103" s="86"/>
      <c r="C103" s="86"/>
      <c r="D103" s="86"/>
      <c r="E103" s="86"/>
      <c r="F103" s="86"/>
    </row>
    <row r="104" spans="1:6" x14ac:dyDescent="0.3">
      <c r="A104" s="4" t="s">
        <v>341</v>
      </c>
      <c r="B104" s="4" t="s">
        <v>342</v>
      </c>
      <c r="C104" s="4" t="s">
        <v>343</v>
      </c>
      <c r="D104" s="4" t="s">
        <v>344</v>
      </c>
      <c r="E104" s="4" t="s">
        <v>345</v>
      </c>
      <c r="F104" s="4" t="s">
        <v>9</v>
      </c>
    </row>
    <row r="105" spans="1:6" x14ac:dyDescent="0.3">
      <c r="A105" s="10" t="s">
        <v>107</v>
      </c>
      <c r="B105" s="12" t="s">
        <v>346</v>
      </c>
      <c r="C105" s="6"/>
      <c r="D105" s="13"/>
      <c r="E105" s="5">
        <f>'Credit Cards'!F3</f>
        <v>21</v>
      </c>
      <c r="F105" s="5" t="s">
        <v>347</v>
      </c>
    </row>
    <row r="106" spans="1:6" x14ac:dyDescent="0.3">
      <c r="A106" s="10" t="s">
        <v>110</v>
      </c>
      <c r="B106" s="12" t="s">
        <v>346</v>
      </c>
      <c r="C106" s="6"/>
      <c r="D106" s="13"/>
      <c r="E106" s="5">
        <f>'Credit Cards'!F4</f>
        <v>8</v>
      </c>
      <c r="F106" s="5" t="s">
        <v>347</v>
      </c>
    </row>
    <row r="107" spans="1:6" x14ac:dyDescent="0.3">
      <c r="A107" s="10" t="s">
        <v>112</v>
      </c>
      <c r="B107" s="12" t="s">
        <v>346</v>
      </c>
      <c r="C107" s="6"/>
      <c r="D107" s="13"/>
      <c r="E107" s="5">
        <f>'Credit Cards'!F5</f>
        <v>25</v>
      </c>
      <c r="F107" s="5" t="s">
        <v>347</v>
      </c>
    </row>
    <row r="108" spans="1:6" x14ac:dyDescent="0.3">
      <c r="A108" s="10" t="s">
        <v>114</v>
      </c>
      <c r="B108" s="12" t="s">
        <v>346</v>
      </c>
      <c r="C108" s="6"/>
      <c r="D108" s="13"/>
      <c r="E108" s="5">
        <f>'Credit Cards'!F6</f>
        <v>8</v>
      </c>
      <c r="F108" s="5" t="s">
        <v>347</v>
      </c>
    </row>
    <row r="109" spans="1:6" x14ac:dyDescent="0.3">
      <c r="A109" s="10" t="s">
        <v>116</v>
      </c>
      <c r="B109" s="12" t="s">
        <v>346</v>
      </c>
      <c r="C109" s="6"/>
      <c r="D109" s="13"/>
      <c r="E109" s="5">
        <f>'Credit Cards'!F7</f>
        <v>25</v>
      </c>
      <c r="F109" s="5" t="s">
        <v>347</v>
      </c>
    </row>
    <row r="110" spans="1:6" x14ac:dyDescent="0.3">
      <c r="A110" s="14" t="s">
        <v>178</v>
      </c>
      <c r="D110" s="15"/>
    </row>
  </sheetData>
  <mergeCells count="14">
    <mergeCell ref="A1:F1"/>
    <mergeCell ref="A94:F94"/>
    <mergeCell ref="A103:F103"/>
    <mergeCell ref="A67:F67"/>
    <mergeCell ref="A31:F31"/>
    <mergeCell ref="A58:F58"/>
    <mergeCell ref="A22:F22"/>
    <mergeCell ref="A40:F40"/>
    <mergeCell ref="A4:F4"/>
    <mergeCell ref="A2:F2"/>
    <mergeCell ref="A49:F49"/>
    <mergeCell ref="A85:F85"/>
    <mergeCell ref="A76:F76"/>
    <mergeCell ref="A13:F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8"/>
  <sheetViews>
    <sheetView topLeftCell="A24" workbookViewId="0">
      <selection activeCell="G21" sqref="G21"/>
    </sheetView>
  </sheetViews>
  <sheetFormatPr defaultRowHeight="14.4" x14ac:dyDescent="0.3"/>
  <cols>
    <col min="1" max="2" width="12" customWidth="1"/>
    <col min="3" max="9" width="15" customWidth="1"/>
    <col min="10" max="10" width="14" customWidth="1"/>
  </cols>
  <sheetData>
    <row r="1" spans="1:10" x14ac:dyDescent="0.3">
      <c r="A1" s="91" t="s">
        <v>359</v>
      </c>
      <c r="B1" s="86"/>
      <c r="C1" s="86"/>
      <c r="D1" s="86"/>
      <c r="E1" s="86"/>
      <c r="F1" s="86"/>
      <c r="G1" s="86"/>
      <c r="H1" s="86"/>
      <c r="I1" s="86"/>
    </row>
    <row r="2" spans="1:10" ht="27.6" customHeight="1" x14ac:dyDescent="0.3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360</v>
      </c>
      <c r="H2" s="7" t="s">
        <v>97</v>
      </c>
      <c r="I2" s="7" t="s">
        <v>361</v>
      </c>
      <c r="J2" s="21" t="s">
        <v>362</v>
      </c>
    </row>
    <row r="3" spans="1:10" x14ac:dyDescent="0.3">
      <c r="A3" s="20" t="str">
        <f>'Credit Cards'!A3</f>
        <v>Card1</v>
      </c>
      <c r="B3" s="20" t="str">
        <f>'Credit Cards'!B3</f>
        <v>Navy Federal Card</v>
      </c>
      <c r="C3" s="17">
        <f>'Credit Cards'!H3</f>
        <v>1500.1</v>
      </c>
      <c r="D3" s="17">
        <f>'Credit Cards'!C3</f>
        <v>1500</v>
      </c>
      <c r="E3" s="17">
        <f t="shared" ref="E3:E17" si="0">D3-C3</f>
        <v>-9.9999999999909051E-2</v>
      </c>
      <c r="F3" s="109">
        <f t="shared" ref="F3:F17" si="1">IF(D3&gt;0,C3/D3,0)</f>
        <v>1.0000666666666667</v>
      </c>
      <c r="G3" s="109">
        <f>'Credit Cards'!D3</f>
        <v>0.18</v>
      </c>
      <c r="H3" s="20">
        <f>'Credit Cards'!G3</f>
        <v>24</v>
      </c>
      <c r="I3" s="17">
        <f>SUMIF('Bill Master List'!D:D,"Card1",'Bill Master List'!B:B)</f>
        <v>587</v>
      </c>
      <c r="J3" s="18" t="str">
        <f t="shared" ref="J3:J17" si="2">IF(F3=0,"—",IF(F3&lt;0.1,"✓ Safe",IF(F3&lt;0.3,"⚠ Warning",IF(F3&lt;0.5,"🔶 Caution","🚨 DANGER"))))</f>
        <v>🚨 DANGER</v>
      </c>
    </row>
    <row r="4" spans="1:10" x14ac:dyDescent="0.3">
      <c r="A4" s="20" t="str">
        <f>'Credit Cards'!A4</f>
        <v>Card2</v>
      </c>
      <c r="B4" s="20" t="str">
        <f>'Credit Cards'!B4</f>
        <v>Indigo 3069</v>
      </c>
      <c r="C4" s="17">
        <f>'Credit Cards'!H4</f>
        <v>632.80999999999995</v>
      </c>
      <c r="D4" s="17">
        <f>'Credit Cards'!C4</f>
        <v>500</v>
      </c>
      <c r="E4" s="17">
        <f t="shared" si="0"/>
        <v>-132.80999999999995</v>
      </c>
      <c r="F4" s="109">
        <f t="shared" si="1"/>
        <v>1.26562</v>
      </c>
      <c r="G4" s="109">
        <f>'Credit Cards'!D4</f>
        <v>0.35899999999999999</v>
      </c>
      <c r="H4" s="20">
        <f>'Credit Cards'!G4</f>
        <v>9</v>
      </c>
      <c r="I4" s="17">
        <f>SUMIF('Bill Master List'!D:D,"Card2",'Bill Master List'!B:B)</f>
        <v>398</v>
      </c>
      <c r="J4" s="18" t="str">
        <f t="shared" si="2"/>
        <v>🚨 DANGER</v>
      </c>
    </row>
    <row r="5" spans="1:10" x14ac:dyDescent="0.3">
      <c r="A5" s="20" t="str">
        <f>'Credit Cards'!A5</f>
        <v>Card3</v>
      </c>
      <c r="B5" s="20" t="str">
        <f>'Credit Cards'!B5</f>
        <v>Indigo 1448</v>
      </c>
      <c r="C5" s="17">
        <f>'Credit Cards'!H5</f>
        <v>599.4</v>
      </c>
      <c r="D5" s="17">
        <f>'Credit Cards'!C5</f>
        <v>1000</v>
      </c>
      <c r="E5" s="17">
        <f t="shared" si="0"/>
        <v>400.6</v>
      </c>
      <c r="F5" s="109">
        <f t="shared" si="1"/>
        <v>0.59939999999999993</v>
      </c>
      <c r="G5" s="109">
        <f>'Credit Cards'!D5</f>
        <v>0.35899999999999999</v>
      </c>
      <c r="H5" s="20">
        <f>'Credit Cards'!G5</f>
        <v>26</v>
      </c>
      <c r="I5" s="17">
        <f>SUMIF('Bill Master List'!D:D,"Card3",'Bill Master List'!B:B)</f>
        <v>1265</v>
      </c>
      <c r="J5" s="18" t="str">
        <f t="shared" si="2"/>
        <v>🚨 DANGER</v>
      </c>
    </row>
    <row r="6" spans="1:10" x14ac:dyDescent="0.3">
      <c r="A6" s="20" t="str">
        <f>'Credit Cards'!A6</f>
        <v>Card4</v>
      </c>
      <c r="B6" s="20" t="str">
        <f>'Credit Cards'!B6</f>
        <v xml:space="preserve">Milestone 5093 </v>
      </c>
      <c r="C6" s="17">
        <f>'Credit Cards'!H6</f>
        <v>489.81</v>
      </c>
      <c r="D6" s="17">
        <f>'Credit Cards'!C6</f>
        <v>500</v>
      </c>
      <c r="E6" s="17">
        <f t="shared" si="0"/>
        <v>10.189999999999998</v>
      </c>
      <c r="F6" s="109">
        <f t="shared" si="1"/>
        <v>0.97962000000000005</v>
      </c>
      <c r="G6" s="109">
        <f>'Credit Cards'!D6</f>
        <v>0.35899999999999999</v>
      </c>
      <c r="H6" s="20">
        <f>'Credit Cards'!G6</f>
        <v>9</v>
      </c>
      <c r="I6" s="17">
        <f>SUMIF('Bill Master List'!D:D,"Card4",'Bill Master List'!B:B)</f>
        <v>200</v>
      </c>
      <c r="J6" s="18" t="str">
        <f t="shared" si="2"/>
        <v>🚨 DANGER</v>
      </c>
    </row>
    <row r="7" spans="1:10" x14ac:dyDescent="0.3">
      <c r="A7" s="20" t="str">
        <f>'Credit Cards'!A7</f>
        <v>Card5</v>
      </c>
      <c r="B7" s="20" t="str">
        <f>'Credit Cards'!B7</f>
        <v>Destiny 3992</v>
      </c>
      <c r="C7" s="17">
        <f>'Credit Cards'!H7</f>
        <v>944.27</v>
      </c>
      <c r="D7" s="17">
        <f>'Credit Cards'!C7</f>
        <v>1000</v>
      </c>
      <c r="E7" s="17">
        <f t="shared" si="0"/>
        <v>55.730000000000018</v>
      </c>
      <c r="F7" s="109">
        <f t="shared" si="1"/>
        <v>0.94426999999999994</v>
      </c>
      <c r="G7" s="109">
        <f>'Credit Cards'!D7</f>
        <v>0.35899999999999999</v>
      </c>
      <c r="H7" s="20">
        <f>'Credit Cards'!G7</f>
        <v>26</v>
      </c>
      <c r="I7" s="17">
        <f>SUMIF('Bill Master List'!D:D,"Card5",'Bill Master List'!B:B)</f>
        <v>630</v>
      </c>
      <c r="J7" s="18" t="str">
        <f t="shared" si="2"/>
        <v>🚨 DANGER</v>
      </c>
    </row>
    <row r="8" spans="1:10" x14ac:dyDescent="0.3">
      <c r="A8" s="20" t="str">
        <f>'Credit Cards'!A8</f>
        <v>Card6</v>
      </c>
      <c r="B8" s="20">
        <f>'Credit Cards'!B8</f>
        <v>0</v>
      </c>
      <c r="C8" s="17">
        <f>'Credit Cards'!H8</f>
        <v>0</v>
      </c>
      <c r="D8" s="17">
        <f>'Credit Cards'!C8</f>
        <v>0</v>
      </c>
      <c r="E8" s="17">
        <f t="shared" si="0"/>
        <v>0</v>
      </c>
      <c r="F8" s="109">
        <f t="shared" si="1"/>
        <v>0</v>
      </c>
      <c r="G8" s="109">
        <f>'Credit Cards'!D8</f>
        <v>0</v>
      </c>
      <c r="H8" s="20">
        <f>'Credit Cards'!G8</f>
        <v>0</v>
      </c>
      <c r="I8" s="17">
        <f>SUMIF('Bill Master List'!D:D,"Card6",'Bill Master List'!B:B)</f>
        <v>0</v>
      </c>
      <c r="J8" s="18" t="str">
        <f t="shared" si="2"/>
        <v>—</v>
      </c>
    </row>
    <row r="9" spans="1:10" x14ac:dyDescent="0.3">
      <c r="A9" s="20" t="str">
        <f>'Credit Cards'!A9</f>
        <v>Card7</v>
      </c>
      <c r="B9" s="20">
        <f>'Credit Cards'!B9</f>
        <v>0</v>
      </c>
      <c r="C9" s="17">
        <f>'Credit Cards'!H9</f>
        <v>0</v>
      </c>
      <c r="D9" s="17">
        <f>'Credit Cards'!C9</f>
        <v>0</v>
      </c>
      <c r="E9" s="17">
        <f t="shared" si="0"/>
        <v>0</v>
      </c>
      <c r="F9" s="109">
        <f t="shared" si="1"/>
        <v>0</v>
      </c>
      <c r="G9" s="109">
        <f>'Credit Cards'!D9</f>
        <v>0</v>
      </c>
      <c r="H9" s="20">
        <f>'Credit Cards'!G9</f>
        <v>0</v>
      </c>
      <c r="I9" s="17">
        <f>SUMIF('Bill Master List'!D:D,"Card7",'Bill Master List'!B:B)</f>
        <v>0</v>
      </c>
      <c r="J9" s="18" t="str">
        <f t="shared" si="2"/>
        <v>—</v>
      </c>
    </row>
    <row r="10" spans="1:10" x14ac:dyDescent="0.3">
      <c r="A10" s="20" t="str">
        <f>'Credit Cards'!A10</f>
        <v>Card8</v>
      </c>
      <c r="B10" s="20">
        <f>'Credit Cards'!B10</f>
        <v>0</v>
      </c>
      <c r="C10" s="17">
        <f>'Credit Cards'!H10</f>
        <v>0</v>
      </c>
      <c r="D10" s="17">
        <f>'Credit Cards'!C10</f>
        <v>0</v>
      </c>
      <c r="E10" s="17">
        <f t="shared" si="0"/>
        <v>0</v>
      </c>
      <c r="F10" s="109">
        <f t="shared" si="1"/>
        <v>0</v>
      </c>
      <c r="G10" s="109">
        <f>'Credit Cards'!D10</f>
        <v>0</v>
      </c>
      <c r="H10" s="20">
        <f>'Credit Cards'!G10</f>
        <v>0</v>
      </c>
      <c r="I10" s="17">
        <f>SUMIF('Bill Master List'!D:D,"Card8",'Bill Master List'!B:B)</f>
        <v>0</v>
      </c>
      <c r="J10" s="18" t="str">
        <f t="shared" si="2"/>
        <v>—</v>
      </c>
    </row>
    <row r="11" spans="1:10" x14ac:dyDescent="0.3">
      <c r="A11" s="20" t="str">
        <f>'Credit Cards'!A11</f>
        <v>Card9</v>
      </c>
      <c r="B11" s="20">
        <f>'Credit Cards'!B11</f>
        <v>0</v>
      </c>
      <c r="C11" s="17">
        <f>'Credit Cards'!H11</f>
        <v>0</v>
      </c>
      <c r="D11" s="17">
        <f>'Credit Cards'!C11</f>
        <v>0</v>
      </c>
      <c r="E11" s="17">
        <f t="shared" si="0"/>
        <v>0</v>
      </c>
      <c r="F11" s="109">
        <f t="shared" si="1"/>
        <v>0</v>
      </c>
      <c r="G11" s="109">
        <f>'Credit Cards'!D11</f>
        <v>0</v>
      </c>
      <c r="H11" s="20">
        <f>'Credit Cards'!G11</f>
        <v>0</v>
      </c>
      <c r="I11" s="17">
        <f>SUMIF('Bill Master List'!D:D,"Card9",'Bill Master List'!B:B)</f>
        <v>0</v>
      </c>
      <c r="J11" s="18" t="str">
        <f t="shared" si="2"/>
        <v>—</v>
      </c>
    </row>
    <row r="12" spans="1:10" x14ac:dyDescent="0.3">
      <c r="A12" s="20" t="str">
        <f>'Credit Cards'!A12</f>
        <v>Card10</v>
      </c>
      <c r="B12" s="20">
        <f>'Credit Cards'!B12</f>
        <v>0</v>
      </c>
      <c r="C12" s="17">
        <f>'Credit Cards'!H12</f>
        <v>0</v>
      </c>
      <c r="D12" s="17">
        <f>'Credit Cards'!C12</f>
        <v>0</v>
      </c>
      <c r="E12" s="17">
        <f t="shared" si="0"/>
        <v>0</v>
      </c>
      <c r="F12" s="109">
        <f t="shared" si="1"/>
        <v>0</v>
      </c>
      <c r="G12" s="109">
        <f>'Credit Cards'!D12</f>
        <v>0</v>
      </c>
      <c r="H12" s="20">
        <f>'Credit Cards'!G12</f>
        <v>0</v>
      </c>
      <c r="I12" s="17">
        <f>SUMIF('Bill Master List'!D:D,"Card10",'Bill Master List'!B:B)</f>
        <v>0</v>
      </c>
      <c r="J12" s="18" t="str">
        <f t="shared" si="2"/>
        <v>—</v>
      </c>
    </row>
    <row r="13" spans="1:10" x14ac:dyDescent="0.3">
      <c r="A13" s="20" t="str">
        <f>'Credit Cards'!A13</f>
        <v>Card11</v>
      </c>
      <c r="B13" s="20">
        <f>'Credit Cards'!B13</f>
        <v>0</v>
      </c>
      <c r="C13" s="17">
        <f>'Credit Cards'!H13</f>
        <v>0</v>
      </c>
      <c r="D13" s="17">
        <f>'Credit Cards'!C13</f>
        <v>0</v>
      </c>
      <c r="E13" s="17">
        <f t="shared" si="0"/>
        <v>0</v>
      </c>
      <c r="F13" s="109">
        <f t="shared" si="1"/>
        <v>0</v>
      </c>
      <c r="G13" s="109">
        <f>'Credit Cards'!D13</f>
        <v>0</v>
      </c>
      <c r="H13" s="20">
        <f>'Credit Cards'!G13</f>
        <v>0</v>
      </c>
      <c r="I13" s="17">
        <f>SUMIF('Bill Master List'!D:D,"Card11",'Bill Master List'!B:B)</f>
        <v>0</v>
      </c>
      <c r="J13" s="18" t="str">
        <f t="shared" si="2"/>
        <v>—</v>
      </c>
    </row>
    <row r="14" spans="1:10" x14ac:dyDescent="0.3">
      <c r="A14" s="20" t="str">
        <f>'Credit Cards'!A14</f>
        <v>Card12</v>
      </c>
      <c r="B14" s="20">
        <f>'Credit Cards'!B14</f>
        <v>0</v>
      </c>
      <c r="C14" s="17">
        <f>'Credit Cards'!H14</f>
        <v>0</v>
      </c>
      <c r="D14" s="17">
        <f>'Credit Cards'!C14</f>
        <v>0</v>
      </c>
      <c r="E14" s="17">
        <f t="shared" si="0"/>
        <v>0</v>
      </c>
      <c r="F14" s="109">
        <f t="shared" si="1"/>
        <v>0</v>
      </c>
      <c r="G14" s="109">
        <f>'Credit Cards'!D14</f>
        <v>0</v>
      </c>
      <c r="H14" s="20">
        <f>'Credit Cards'!G14</f>
        <v>0</v>
      </c>
      <c r="I14" s="17">
        <f>SUMIF('Bill Master List'!D:D,"Card12",'Bill Master List'!B:B)</f>
        <v>0</v>
      </c>
      <c r="J14" s="18" t="str">
        <f t="shared" si="2"/>
        <v>—</v>
      </c>
    </row>
    <row r="15" spans="1:10" x14ac:dyDescent="0.3">
      <c r="A15" s="20" t="str">
        <f>'Credit Cards'!A15</f>
        <v>Card13</v>
      </c>
      <c r="B15" s="20">
        <f>'Credit Cards'!B15</f>
        <v>0</v>
      </c>
      <c r="C15" s="17">
        <f>'Credit Cards'!H15</f>
        <v>0</v>
      </c>
      <c r="D15" s="17">
        <f>'Credit Cards'!C15</f>
        <v>0</v>
      </c>
      <c r="E15" s="17">
        <f t="shared" si="0"/>
        <v>0</v>
      </c>
      <c r="F15" s="109">
        <f t="shared" si="1"/>
        <v>0</v>
      </c>
      <c r="G15" s="109">
        <f>'Credit Cards'!D15</f>
        <v>0</v>
      </c>
      <c r="H15" s="20">
        <f>'Credit Cards'!G15</f>
        <v>0</v>
      </c>
      <c r="I15" s="17">
        <f>SUMIF('Bill Master List'!D:D,"Card13",'Bill Master List'!B:B)</f>
        <v>0</v>
      </c>
      <c r="J15" s="18" t="str">
        <f t="shared" si="2"/>
        <v>—</v>
      </c>
    </row>
    <row r="16" spans="1:10" x14ac:dyDescent="0.3">
      <c r="A16" s="20" t="str">
        <f>'Credit Cards'!A16</f>
        <v>Card14</v>
      </c>
      <c r="B16" s="20">
        <f>'Credit Cards'!B16</f>
        <v>0</v>
      </c>
      <c r="C16" s="17">
        <f>'Credit Cards'!H16</f>
        <v>0</v>
      </c>
      <c r="D16" s="17">
        <f>'Credit Cards'!C16</f>
        <v>0</v>
      </c>
      <c r="E16" s="17">
        <f t="shared" si="0"/>
        <v>0</v>
      </c>
      <c r="F16" s="109">
        <f t="shared" si="1"/>
        <v>0</v>
      </c>
      <c r="G16" s="109">
        <f>'Credit Cards'!D16</f>
        <v>0</v>
      </c>
      <c r="H16" s="20">
        <f>'Credit Cards'!G16</f>
        <v>0</v>
      </c>
      <c r="I16" s="17">
        <f>SUMIF('Bill Master List'!D:D,"Card14",'Bill Master List'!B:B)</f>
        <v>0</v>
      </c>
      <c r="J16" s="18" t="str">
        <f t="shared" si="2"/>
        <v>—</v>
      </c>
    </row>
    <row r="17" spans="1:10" x14ac:dyDescent="0.3">
      <c r="A17" s="20" t="str">
        <f>'Credit Cards'!A17</f>
        <v>Card15</v>
      </c>
      <c r="B17" s="20">
        <f>'Credit Cards'!B17</f>
        <v>0</v>
      </c>
      <c r="C17" s="17">
        <f>'Credit Cards'!H17</f>
        <v>0</v>
      </c>
      <c r="D17" s="17">
        <f>'Credit Cards'!C17</f>
        <v>0</v>
      </c>
      <c r="E17" s="17">
        <f t="shared" si="0"/>
        <v>0</v>
      </c>
      <c r="F17" s="109">
        <f t="shared" si="1"/>
        <v>0</v>
      </c>
      <c r="G17" s="109">
        <f>'Credit Cards'!D17</f>
        <v>0</v>
      </c>
      <c r="H17" s="20">
        <f>'Credit Cards'!G17</f>
        <v>0</v>
      </c>
      <c r="I17" s="17">
        <f>SUMIF('Bill Master List'!D:D,"Card15",'Bill Master List'!B:B)</f>
        <v>0</v>
      </c>
      <c r="J17" s="18" t="str">
        <f t="shared" si="2"/>
        <v>—</v>
      </c>
    </row>
    <row r="18" spans="1:10" x14ac:dyDescent="0.3">
      <c r="A18" s="1" t="s">
        <v>363</v>
      </c>
      <c r="C18" s="16">
        <f>SUM(C3:C17)</f>
        <v>4166.3899999999994</v>
      </c>
      <c r="D18" s="16">
        <f>SUM(D3:D17)</f>
        <v>4500</v>
      </c>
      <c r="E18" s="16">
        <f>SUM(E3:E17)</f>
        <v>333.61000000000018</v>
      </c>
      <c r="I18" s="16">
        <f>SUM(I3:I17)</f>
        <v>3080</v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2"/>
  <sheetViews>
    <sheetView workbookViewId="0"/>
  </sheetViews>
  <sheetFormatPr defaultRowHeight="14.4" x14ac:dyDescent="0.3"/>
  <sheetData>
    <row r="1" spans="1:8" ht="18" customHeight="1" x14ac:dyDescent="0.35">
      <c r="A1" s="79" t="s">
        <v>364</v>
      </c>
    </row>
    <row r="3" spans="1:8" x14ac:dyDescent="0.3">
      <c r="A3" t="s">
        <v>365</v>
      </c>
    </row>
    <row r="4" spans="1:8" x14ac:dyDescent="0.3">
      <c r="A4" t="s">
        <v>366</v>
      </c>
    </row>
    <row r="6" spans="1:8" ht="43.2" customHeight="1" x14ac:dyDescent="0.3">
      <c r="A6" s="81" t="s">
        <v>341</v>
      </c>
      <c r="B6" s="81" t="s">
        <v>367</v>
      </c>
      <c r="C6" s="81" t="s">
        <v>368</v>
      </c>
      <c r="D6" s="81" t="s">
        <v>369</v>
      </c>
      <c r="E6" s="81" t="s">
        <v>370</v>
      </c>
      <c r="F6" s="81" t="s">
        <v>371</v>
      </c>
      <c r="G6" s="81" t="s">
        <v>372</v>
      </c>
      <c r="H6" s="81" t="s">
        <v>373</v>
      </c>
    </row>
    <row r="7" spans="1:8" x14ac:dyDescent="0.3">
      <c r="A7" t="str">
        <f>'Credit Cards'!A3</f>
        <v>Card1</v>
      </c>
      <c r="B7" s="2">
        <f>'Credit Cards'!L3</f>
        <v>0</v>
      </c>
      <c r="C7" s="3">
        <f>'Credit Cards'!N3</f>
        <v>18</v>
      </c>
      <c r="D7" s="3">
        <f t="shared" ref="D7:D21" si="0">C7/365</f>
        <v>4.9315068493150684E-2</v>
      </c>
      <c r="E7" s="2">
        <f t="shared" ref="E7:E21" si="1">B7*D7</f>
        <v>0</v>
      </c>
      <c r="F7" s="2">
        <f t="shared" ref="F7:F21" si="2">E7*30</f>
        <v>0</v>
      </c>
      <c r="G7" s="3">
        <f>'Credit Cards'!O3</f>
        <v>0.05</v>
      </c>
      <c r="H7" s="2">
        <f>'Credit Cards'!P3</f>
        <v>10</v>
      </c>
    </row>
    <row r="8" spans="1:8" x14ac:dyDescent="0.3">
      <c r="A8" t="str">
        <f>'Credit Cards'!A4</f>
        <v>Card2</v>
      </c>
      <c r="B8" s="2">
        <f>'Credit Cards'!L4</f>
        <v>0</v>
      </c>
      <c r="C8" s="3">
        <f>'Credit Cards'!N4</f>
        <v>35.9</v>
      </c>
      <c r="D8" s="3">
        <f t="shared" si="0"/>
        <v>9.8356164383561637E-2</v>
      </c>
      <c r="E8" s="2">
        <f t="shared" si="1"/>
        <v>0</v>
      </c>
      <c r="F8" s="2">
        <f t="shared" si="2"/>
        <v>0</v>
      </c>
      <c r="G8" s="3">
        <f>'Credit Cards'!O4</f>
        <v>0.05</v>
      </c>
      <c r="H8" s="2">
        <f>'Credit Cards'!P4</f>
        <v>10</v>
      </c>
    </row>
    <row r="9" spans="1:8" x14ac:dyDescent="0.3">
      <c r="A9" t="str">
        <f>'Credit Cards'!A5</f>
        <v>Card3</v>
      </c>
      <c r="B9" s="2">
        <f>'Credit Cards'!L5</f>
        <v>100</v>
      </c>
      <c r="C9" s="3">
        <f>'Credit Cards'!N5</f>
        <v>35.9</v>
      </c>
      <c r="D9" s="3">
        <f t="shared" si="0"/>
        <v>9.8356164383561637E-2</v>
      </c>
      <c r="E9" s="2">
        <f t="shared" si="1"/>
        <v>9.8356164383561637</v>
      </c>
      <c r="F9" s="2">
        <f t="shared" si="2"/>
        <v>295.0684931506849</v>
      </c>
      <c r="G9" s="3">
        <f>'Credit Cards'!O5</f>
        <v>0.05</v>
      </c>
      <c r="H9" s="2">
        <f>'Credit Cards'!P5</f>
        <v>10</v>
      </c>
    </row>
    <row r="10" spans="1:8" x14ac:dyDescent="0.3">
      <c r="A10" t="str">
        <f>'Credit Cards'!A6</f>
        <v>Card4</v>
      </c>
      <c r="B10" s="2">
        <f>'Credit Cards'!L6</f>
        <v>0</v>
      </c>
      <c r="C10" s="3">
        <f>'Credit Cards'!N6</f>
        <v>35.9</v>
      </c>
      <c r="D10" s="3">
        <f t="shared" si="0"/>
        <v>9.8356164383561637E-2</v>
      </c>
      <c r="E10" s="2">
        <f t="shared" si="1"/>
        <v>0</v>
      </c>
      <c r="F10" s="2">
        <f t="shared" si="2"/>
        <v>0</v>
      </c>
      <c r="G10" s="3">
        <f>'Credit Cards'!O6</f>
        <v>0.05</v>
      </c>
      <c r="H10" s="2">
        <f>'Credit Cards'!P6</f>
        <v>10</v>
      </c>
    </row>
    <row r="11" spans="1:8" x14ac:dyDescent="0.3">
      <c r="A11" t="str">
        <f>'Credit Cards'!A7</f>
        <v>Card5</v>
      </c>
      <c r="B11" s="2">
        <f>'Credit Cards'!L7</f>
        <v>100</v>
      </c>
      <c r="C11" s="3">
        <f>'Credit Cards'!N7</f>
        <v>35.9</v>
      </c>
      <c r="D11" s="3">
        <f t="shared" si="0"/>
        <v>9.8356164383561637E-2</v>
      </c>
      <c r="E11" s="2">
        <f t="shared" si="1"/>
        <v>9.8356164383561637</v>
      </c>
      <c r="F11" s="2">
        <f t="shared" si="2"/>
        <v>295.0684931506849</v>
      </c>
      <c r="G11" s="3">
        <f>'Credit Cards'!O7</f>
        <v>0.05</v>
      </c>
      <c r="H11" s="2">
        <f>'Credit Cards'!P7</f>
        <v>10</v>
      </c>
    </row>
    <row r="12" spans="1:8" x14ac:dyDescent="0.3">
      <c r="A12" t="str">
        <f>'Credit Cards'!A8</f>
        <v>Card6</v>
      </c>
      <c r="B12" s="2">
        <f>'Credit Cards'!L8</f>
        <v>0</v>
      </c>
      <c r="C12" s="3">
        <f>'Credit Cards'!N8</f>
        <v>0</v>
      </c>
      <c r="D12" s="3">
        <f t="shared" si="0"/>
        <v>0</v>
      </c>
      <c r="E12" s="2">
        <f t="shared" si="1"/>
        <v>0</v>
      </c>
      <c r="F12" s="2">
        <f t="shared" si="2"/>
        <v>0</v>
      </c>
      <c r="G12" s="3">
        <f>'Credit Cards'!O8</f>
        <v>0</v>
      </c>
      <c r="H12" s="2">
        <f>'Credit Cards'!P8</f>
        <v>0</v>
      </c>
    </row>
    <row r="13" spans="1:8" x14ac:dyDescent="0.3">
      <c r="A13" t="str">
        <f>'Credit Cards'!A9</f>
        <v>Card7</v>
      </c>
      <c r="B13" s="2">
        <f>'Credit Cards'!L9</f>
        <v>0</v>
      </c>
      <c r="C13" s="3">
        <f>'Credit Cards'!N9</f>
        <v>0</v>
      </c>
      <c r="D13" s="3">
        <f t="shared" si="0"/>
        <v>0</v>
      </c>
      <c r="E13" s="2">
        <f t="shared" si="1"/>
        <v>0</v>
      </c>
      <c r="F13" s="2">
        <f t="shared" si="2"/>
        <v>0</v>
      </c>
      <c r="G13" s="3">
        <f>'Credit Cards'!O9</f>
        <v>0</v>
      </c>
      <c r="H13" s="2">
        <f>'Credit Cards'!P9</f>
        <v>0</v>
      </c>
    </row>
    <row r="14" spans="1:8" x14ac:dyDescent="0.3">
      <c r="A14" t="str">
        <f>'Credit Cards'!A10</f>
        <v>Card8</v>
      </c>
      <c r="B14" s="2">
        <f>'Credit Cards'!L10</f>
        <v>0</v>
      </c>
      <c r="C14" s="3">
        <f>'Credit Cards'!N10</f>
        <v>0</v>
      </c>
      <c r="D14" s="3">
        <f t="shared" si="0"/>
        <v>0</v>
      </c>
      <c r="E14" s="2">
        <f t="shared" si="1"/>
        <v>0</v>
      </c>
      <c r="F14" s="2">
        <f t="shared" si="2"/>
        <v>0</v>
      </c>
      <c r="G14" s="3">
        <f>'Credit Cards'!O10</f>
        <v>0</v>
      </c>
      <c r="H14" s="2">
        <f>'Credit Cards'!P10</f>
        <v>0</v>
      </c>
    </row>
    <row r="15" spans="1:8" x14ac:dyDescent="0.3">
      <c r="A15" t="str">
        <f>'Credit Cards'!A11</f>
        <v>Card9</v>
      </c>
      <c r="B15" s="2">
        <f>'Credit Cards'!L11</f>
        <v>0</v>
      </c>
      <c r="C15" s="3">
        <f>'Credit Cards'!N11</f>
        <v>0</v>
      </c>
      <c r="D15" s="3">
        <f t="shared" si="0"/>
        <v>0</v>
      </c>
      <c r="E15" s="2">
        <f t="shared" si="1"/>
        <v>0</v>
      </c>
      <c r="F15" s="2">
        <f t="shared" si="2"/>
        <v>0</v>
      </c>
      <c r="G15" s="3">
        <f>'Credit Cards'!O11</f>
        <v>0</v>
      </c>
      <c r="H15" s="2">
        <f>'Credit Cards'!P11</f>
        <v>0</v>
      </c>
    </row>
    <row r="16" spans="1:8" x14ac:dyDescent="0.3">
      <c r="A16" t="str">
        <f>'Credit Cards'!A12</f>
        <v>Card10</v>
      </c>
      <c r="B16" s="2">
        <f>'Credit Cards'!L12</f>
        <v>0</v>
      </c>
      <c r="C16" s="3">
        <f>'Credit Cards'!N12</f>
        <v>0</v>
      </c>
      <c r="D16" s="3">
        <f t="shared" si="0"/>
        <v>0</v>
      </c>
      <c r="E16" s="2">
        <f t="shared" si="1"/>
        <v>0</v>
      </c>
      <c r="F16" s="2">
        <f t="shared" si="2"/>
        <v>0</v>
      </c>
      <c r="G16" s="3">
        <f>'Credit Cards'!O12</f>
        <v>0</v>
      </c>
      <c r="H16" s="2">
        <f>'Credit Cards'!P12</f>
        <v>0</v>
      </c>
    </row>
    <row r="17" spans="1:8" x14ac:dyDescent="0.3">
      <c r="A17" t="str">
        <f>'Credit Cards'!A13</f>
        <v>Card11</v>
      </c>
      <c r="B17" s="2">
        <f>'Credit Cards'!L13</f>
        <v>0</v>
      </c>
      <c r="C17" s="3">
        <f>'Credit Cards'!N13</f>
        <v>0</v>
      </c>
      <c r="D17" s="3">
        <f t="shared" si="0"/>
        <v>0</v>
      </c>
      <c r="E17" s="2">
        <f t="shared" si="1"/>
        <v>0</v>
      </c>
      <c r="F17" s="2">
        <f t="shared" si="2"/>
        <v>0</v>
      </c>
      <c r="G17" s="3">
        <f>'Credit Cards'!O13</f>
        <v>0</v>
      </c>
      <c r="H17" s="2">
        <f>'Credit Cards'!P13</f>
        <v>0</v>
      </c>
    </row>
    <row r="18" spans="1:8" x14ac:dyDescent="0.3">
      <c r="A18" t="str">
        <f>'Credit Cards'!A14</f>
        <v>Card12</v>
      </c>
      <c r="B18" s="2">
        <f>'Credit Cards'!L14</f>
        <v>0</v>
      </c>
      <c r="C18" s="3">
        <f>'Credit Cards'!N14</f>
        <v>0</v>
      </c>
      <c r="D18" s="3">
        <f t="shared" si="0"/>
        <v>0</v>
      </c>
      <c r="E18" s="2">
        <f t="shared" si="1"/>
        <v>0</v>
      </c>
      <c r="F18" s="2">
        <f t="shared" si="2"/>
        <v>0</v>
      </c>
      <c r="G18" s="3">
        <f>'Credit Cards'!O14</f>
        <v>0</v>
      </c>
      <c r="H18" s="2">
        <f>'Credit Cards'!P14</f>
        <v>0</v>
      </c>
    </row>
    <row r="19" spans="1:8" x14ac:dyDescent="0.3">
      <c r="A19" t="str">
        <f>'Credit Cards'!A15</f>
        <v>Card13</v>
      </c>
      <c r="B19" s="2">
        <f>'Credit Cards'!L15</f>
        <v>0</v>
      </c>
      <c r="C19" s="3">
        <f>'Credit Cards'!N15</f>
        <v>0</v>
      </c>
      <c r="D19" s="3">
        <f t="shared" si="0"/>
        <v>0</v>
      </c>
      <c r="E19" s="2">
        <f t="shared" si="1"/>
        <v>0</v>
      </c>
      <c r="F19" s="2">
        <f t="shared" si="2"/>
        <v>0</v>
      </c>
      <c r="G19" s="3">
        <f>'Credit Cards'!O15</f>
        <v>0</v>
      </c>
      <c r="H19" s="2">
        <f>'Credit Cards'!P15</f>
        <v>0</v>
      </c>
    </row>
    <row r="20" spans="1:8" x14ac:dyDescent="0.3">
      <c r="A20" t="str">
        <f>'Credit Cards'!A16</f>
        <v>Card14</v>
      </c>
      <c r="B20" s="2">
        <f>'Credit Cards'!L16</f>
        <v>0</v>
      </c>
      <c r="C20" s="3">
        <f>'Credit Cards'!N16</f>
        <v>0</v>
      </c>
      <c r="D20" s="3">
        <f t="shared" si="0"/>
        <v>0</v>
      </c>
      <c r="E20" s="2">
        <f t="shared" si="1"/>
        <v>0</v>
      </c>
      <c r="F20" s="2">
        <f t="shared" si="2"/>
        <v>0</v>
      </c>
      <c r="G20" s="3">
        <f>'Credit Cards'!O16</f>
        <v>0</v>
      </c>
      <c r="H20" s="2">
        <f>'Credit Cards'!P16</f>
        <v>0</v>
      </c>
    </row>
    <row r="21" spans="1:8" x14ac:dyDescent="0.3">
      <c r="A21" t="str">
        <f>'Credit Cards'!A17</f>
        <v>Card15</v>
      </c>
      <c r="B21" s="2">
        <f>'Credit Cards'!L17</f>
        <v>0</v>
      </c>
      <c r="C21" s="3">
        <f>'Credit Cards'!N17</f>
        <v>0</v>
      </c>
      <c r="D21" s="3">
        <f t="shared" si="0"/>
        <v>0</v>
      </c>
      <c r="E21" s="2">
        <f t="shared" si="1"/>
        <v>0</v>
      </c>
      <c r="F21" s="2">
        <f t="shared" si="2"/>
        <v>0</v>
      </c>
      <c r="G21" s="3">
        <f>'Credit Cards'!O17</f>
        <v>0</v>
      </c>
      <c r="H21" s="2">
        <f>'Credit Cards'!P17</f>
        <v>0</v>
      </c>
    </row>
    <row r="22" spans="1:8" x14ac:dyDescent="0.3">
      <c r="A22" s="75" t="s">
        <v>374</v>
      </c>
      <c r="B22" s="73">
        <f>SUM(B7:B21)</f>
        <v>200</v>
      </c>
      <c r="C22" s="3"/>
      <c r="D22" s="3"/>
      <c r="E22" s="73">
        <f>SUM(E7:E21)</f>
        <v>19.671232876712327</v>
      </c>
      <c r="F22" s="73">
        <f>SUM(F7:F21)</f>
        <v>590.1369863013698</v>
      </c>
      <c r="G22" s="3"/>
      <c r="H22" s="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9"/>
  <sheetViews>
    <sheetView topLeftCell="A5" workbookViewId="0">
      <selection activeCell="G12" sqref="G12"/>
    </sheetView>
  </sheetViews>
  <sheetFormatPr defaultRowHeight="14.4" x14ac:dyDescent="0.3"/>
  <sheetData>
    <row r="1" spans="1:16" ht="18" customHeight="1" x14ac:dyDescent="0.35">
      <c r="A1" s="79" t="s">
        <v>375</v>
      </c>
    </row>
    <row r="2" spans="1:16" x14ac:dyDescent="0.3">
      <c r="A2" t="s">
        <v>376</v>
      </c>
    </row>
    <row r="4" spans="1:16" ht="28.8" customHeight="1" x14ac:dyDescent="0.3">
      <c r="A4" s="81" t="s">
        <v>341</v>
      </c>
      <c r="B4" s="81" t="s">
        <v>4</v>
      </c>
      <c r="C4" s="81" t="s">
        <v>8</v>
      </c>
      <c r="D4" s="81" t="s">
        <v>10</v>
      </c>
      <c r="E4" s="81" t="s">
        <v>367</v>
      </c>
      <c r="F4" s="81" t="s">
        <v>11</v>
      </c>
      <c r="G4" s="81" t="s">
        <v>377</v>
      </c>
    </row>
    <row r="5" spans="1:16" x14ac:dyDescent="0.3">
      <c r="A5" s="20" t="str">
        <f>'Credit Cards'!A3</f>
        <v>Card1</v>
      </c>
      <c r="B5" s="20" t="str">
        <f>'Credit Cards'!B3</f>
        <v>Navy Federal Card</v>
      </c>
      <c r="C5" s="27">
        <f>'Credit Cards'!M3/'Credit Cards'!C3</f>
        <v>1.0000666666666667</v>
      </c>
      <c r="D5" s="17">
        <f>SUMIF('Bill Master List'!D:D,A5,'Bill Master List'!B:B)</f>
        <v>587</v>
      </c>
      <c r="E5" s="17">
        <f>'Credit Cards'!L3</f>
        <v>0</v>
      </c>
      <c r="F5" s="20" t="str">
        <f>IF(E5&gt;0,"🚨 DANGER",IF(C5&gt;=0.5,"🚨 DANGER",IF(C5&gt;=0.3,"🔶 CAUTION",IF(C5&gt;=0.1,"⚠ Warning","✓ SAFE"))))</f>
        <v>🚨 DANGER</v>
      </c>
      <c r="G5" s="20" t="str">
        <f>IF(OR(F5="🚨 DANGER",E5&gt;0),"Phase 1: Stop all new charges. Pay before report day to get under 50%. Clear cash advances within 1-2 cycles.",IF(F5="🔶 CAUTION","Phase 1: Freeze non-essential spending. Get under 30% before report day. Reassign flexible bills.",IF(F5="⚠ Warning","Controlled float: Keep 5-10% util. Pay strategically before report day.","Safe zone: Use for small essentials, pay in full before report day.")))</f>
        <v>Phase 1: Stop all new charges. Pay before report day to get under 50%. Clear cash advances within 1-2 cycles.</v>
      </c>
      <c r="H5" s="20"/>
      <c r="I5" s="20"/>
      <c r="J5" s="20"/>
      <c r="K5" s="20"/>
      <c r="L5" s="20"/>
      <c r="M5" s="20"/>
      <c r="N5" s="20"/>
      <c r="O5" s="20"/>
      <c r="P5" s="20"/>
    </row>
    <row r="6" spans="1:16" x14ac:dyDescent="0.3">
      <c r="A6" s="20" t="str">
        <f>'Credit Cards'!A4</f>
        <v>Card2</v>
      </c>
      <c r="B6" s="20" t="str">
        <f>'Credit Cards'!B4</f>
        <v>Indigo 3069</v>
      </c>
      <c r="C6" s="27">
        <f>'Credit Cards'!M4/'Credit Cards'!C4</f>
        <v>1.26562</v>
      </c>
      <c r="D6" s="17">
        <f>SUMIF('Bill Master List'!D:D,A6,'Bill Master List'!B:B)</f>
        <v>398</v>
      </c>
      <c r="E6" s="17">
        <f>'Credit Cards'!L4</f>
        <v>0</v>
      </c>
      <c r="F6" s="20" t="str">
        <f>IF(E6&gt;0,"🚨 DANGER",IF(C6&gt;=0.5,"🚨 DANGER",IF(C6&gt;=0.3,"🔶 CAUTION",IF(C6&gt;=0.1,"⚠ Warning","✓ SAFE"))))</f>
        <v>🚨 DANGER</v>
      </c>
      <c r="G6" s="20" t="str">
        <f>IF(OR(F6="🚨 DANGER",E6&gt;0),"Phase 1: Stop all new charges. Pay before report day to get under 50%. Clear cash advances within 1-2 cycles.",IF(F6="🔶 CAUTION","Phase 1: Freeze non-essential spending. Get under 30% before report day. Reassign flexible bills.",IF(F6="⚠ Warning","Controlled float: Keep 5-10% util. Pay strategically before report day.","Safe zone: Use for small essentials, pay in full before report day.")))</f>
        <v>Phase 1: Stop all new charges. Pay before report day to get under 50%. Clear cash advances within 1-2 cycles.</v>
      </c>
      <c r="H6" s="20"/>
      <c r="I6" s="20"/>
      <c r="J6" s="20"/>
      <c r="K6" s="20"/>
      <c r="L6" s="20"/>
      <c r="M6" s="20"/>
      <c r="N6" s="20"/>
      <c r="O6" s="20"/>
      <c r="P6" s="20"/>
    </row>
    <row r="7" spans="1:16" x14ac:dyDescent="0.3">
      <c r="A7" s="20" t="str">
        <f>'Credit Cards'!A5</f>
        <v>Card3</v>
      </c>
      <c r="B7" s="20" t="str">
        <f>'Credit Cards'!B5</f>
        <v>Indigo 1448</v>
      </c>
      <c r="C7" s="27">
        <f>'Credit Cards'!M5/'Credit Cards'!C5</f>
        <v>0.54797000000000007</v>
      </c>
      <c r="D7" s="17">
        <f>SUMIF('Bill Master List'!D:D,A7,'Bill Master List'!B:B)</f>
        <v>1265</v>
      </c>
      <c r="E7" s="17">
        <f>'Credit Cards'!L5</f>
        <v>100</v>
      </c>
      <c r="F7" s="20" t="str">
        <f>IF(E7&gt;0,"🚨 DANGER",IF(C7&gt;=0.5,"🚨 DANGER",IF(C7&gt;=0.3,"🔶 CAUTION",IF(C7&gt;=0.1,"⚠ Warning","✓ SAFE"))))</f>
        <v>🚨 DANGER</v>
      </c>
      <c r="G7" s="20" t="str">
        <f>IF(OR(F7="🚨 DANGER",E7&gt;0),"Phase 1: Stop all new charges. Pay before report day to get under 50%. Clear cash advances within 1-2 cycles.",IF(F7="🔶 CAUTION","Phase 1: Freeze non-essential spending. Get under 30% before report day. Reassign flexible bills.",IF(F7="⚠ Warning","Controlled float: Keep 5-10% util. Pay strategically before report day.","Safe zone: Use for small essentials, pay in full before report day.")))</f>
        <v>Phase 1: Stop all new charges. Pay before report day to get under 50%. Clear cash advances within 1-2 cycles.</v>
      </c>
      <c r="H7" s="20"/>
      <c r="I7" s="20"/>
      <c r="J7" s="20"/>
      <c r="K7" s="20"/>
      <c r="L7" s="20"/>
      <c r="M7" s="20"/>
      <c r="N7" s="20"/>
      <c r="O7" s="20"/>
      <c r="P7" s="20"/>
    </row>
    <row r="8" spans="1:16" x14ac:dyDescent="0.3">
      <c r="A8" s="20" t="str">
        <f>'Credit Cards'!A6</f>
        <v>Card4</v>
      </c>
      <c r="B8" s="20" t="str">
        <f>'Credit Cards'!B6</f>
        <v xml:space="preserve">Milestone 5093 </v>
      </c>
      <c r="C8" s="27">
        <f>'Credit Cards'!M6/'Credit Cards'!C6</f>
        <v>0.97962000000000005</v>
      </c>
      <c r="D8" s="17">
        <f>SUMIF('Bill Master List'!D:D,A8,'Bill Master List'!B:B)</f>
        <v>200</v>
      </c>
      <c r="E8" s="17">
        <f>'Credit Cards'!L6</f>
        <v>0</v>
      </c>
      <c r="F8" s="20" t="str">
        <f>IF(E8&gt;0,"🚨 DANGER",IF(C8&gt;=0.5,"🚨 DANGER",IF(C8&gt;=0.3,"🔶 CAUTION",IF(C8&gt;=0.1,"⚠ Warning","✓ SAFE"))))</f>
        <v>🚨 DANGER</v>
      </c>
      <c r="G8" s="20" t="str">
        <f>IF(OR(F8="🚨 DANGER",E8&gt;0),"Phase 1: Stop all new charges. Pay before report day to get under 50%. Clear cash advances within 1-2 cycles.",IF(F8="🔶 CAUTION","Phase 1: Freeze non-essential spending. Get under 30% before report day. Reassign flexible bills.",IF(F8="⚠ Warning","Controlled float: Keep 5-10% util. Pay strategically before report day.","Safe zone: Use for small essentials, pay in full before report day.")))</f>
        <v>Phase 1: Stop all new charges. Pay before report day to get under 50%. Clear cash advances within 1-2 cycles.</v>
      </c>
      <c r="H8" s="20"/>
      <c r="I8" s="20"/>
      <c r="J8" s="20"/>
      <c r="K8" s="20"/>
      <c r="L8" s="20"/>
      <c r="M8" s="20"/>
      <c r="N8" s="20"/>
      <c r="O8" s="20"/>
      <c r="P8" s="20"/>
    </row>
    <row r="9" spans="1:16" x14ac:dyDescent="0.3">
      <c r="A9" s="20" t="str">
        <f>'Credit Cards'!A7</f>
        <v>Card5</v>
      </c>
      <c r="B9" s="20" t="str">
        <f>'Credit Cards'!B7</f>
        <v>Destiny 3992</v>
      </c>
      <c r="C9" s="27">
        <f>'Credit Cards'!M7/'Credit Cards'!C7</f>
        <v>0.95834000000000008</v>
      </c>
      <c r="D9" s="17">
        <f>SUMIF('Bill Master List'!D:D,A9,'Bill Master List'!B:B)</f>
        <v>630</v>
      </c>
      <c r="E9" s="17">
        <f>'Credit Cards'!L7</f>
        <v>100</v>
      </c>
      <c r="F9" s="20" t="str">
        <f>IF(E9&gt;0,"🚨 DANGER",IF(C9&gt;=0.5,"🚨 DANGER",IF(C9&gt;=0.3,"🔶 CAUTION",IF(C9&gt;=0.1,"⚠ Warning","✓ SAFE"))))</f>
        <v>🚨 DANGER</v>
      </c>
      <c r="G9" s="20" t="str">
        <f>IF(OR(F9="🚨 DANGER",E9&gt;0),"Phase 1: Stop all new charges. Pay before report day to get under 50%. Clear cash advances within 1-2 cycles.",IF(F9="🔶 CAUTION","Phase 1: Freeze non-essential spending. Get under 30% before report day. Reassign flexible bills.",IF(F9="⚠ Warning","Controlled float: Keep 5-10% util. Pay strategically before report day.","Safe zone: Use for small essentials, pay in full before report day.")))</f>
        <v>Phase 1: Stop all new charges. Pay before report day to get under 50%. Clear cash advances within 1-2 cycles.</v>
      </c>
      <c r="H9" s="20"/>
      <c r="I9" s="20"/>
      <c r="J9" s="20"/>
      <c r="K9" s="20"/>
      <c r="L9" s="20"/>
      <c r="M9" s="20"/>
      <c r="N9" s="20"/>
      <c r="O9" s="20"/>
      <c r="P9" s="2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Setup</vt:lpstr>
      <vt:lpstr>Credit Cards</vt:lpstr>
      <vt:lpstr>Bill Master List</vt:lpstr>
      <vt:lpstr>2026 Monthly Bills</vt:lpstr>
      <vt:lpstr>Utilization Alerts</vt:lpstr>
      <vt:lpstr>Smart Bill Assignments</vt:lpstr>
      <vt:lpstr>Card Payment Schedule</vt:lpstr>
      <vt:lpstr>Payment Action List</vt:lpstr>
      <vt:lpstr>Card Summary</vt:lpstr>
      <vt:lpstr>Cash Advance Calculator</vt:lpstr>
      <vt:lpstr>Card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Terrance  Massey</cp:lastModifiedBy>
  <dcterms:created xsi:type="dcterms:W3CDTF">2026-02-26T06:26:38Z</dcterms:created>
  <dcterms:modified xsi:type="dcterms:W3CDTF">2026-03-02T02:59:41Z</dcterms:modified>
</cp:coreProperties>
</file>