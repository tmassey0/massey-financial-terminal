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rra\OneDrive\Desktop\"/>
    </mc:Choice>
  </mc:AlternateContent>
  <xr:revisionPtr revIDLastSave="0" documentId="8_{E4AA36F5-D9DD-4227-9043-3C78BE03F03C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 Summary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2" l="1"/>
  <c r="G45" i="12" s="1"/>
  <c r="E45" i="12"/>
  <c r="D45" i="12"/>
  <c r="C45" i="12"/>
  <c r="F44" i="12"/>
  <c r="G44" i="12" s="1"/>
  <c r="G43" i="12"/>
  <c r="F43" i="12"/>
  <c r="G42" i="12"/>
  <c r="F42" i="12"/>
  <c r="F41" i="12"/>
  <c r="G41" i="12" s="1"/>
  <c r="F40" i="12"/>
  <c r="G40" i="12" s="1"/>
  <c r="G39" i="12"/>
  <c r="F39" i="12"/>
  <c r="G38" i="12"/>
  <c r="F38" i="12"/>
  <c r="E34" i="12"/>
  <c r="D34" i="12"/>
  <c r="C34" i="12"/>
  <c r="F33" i="12"/>
  <c r="G33" i="12" s="1"/>
  <c r="G32" i="12"/>
  <c r="F32" i="12"/>
  <c r="G31" i="12"/>
  <c r="F31" i="12"/>
  <c r="F30" i="12"/>
  <c r="G30" i="12" s="1"/>
  <c r="F29" i="12"/>
  <c r="G29" i="12" s="1"/>
  <c r="G28" i="12"/>
  <c r="F28" i="12"/>
  <c r="G27" i="12"/>
  <c r="F27" i="12"/>
  <c r="F23" i="12"/>
  <c r="G23" i="12" s="1"/>
  <c r="E23" i="12"/>
  <c r="D23" i="12"/>
  <c r="C23" i="12"/>
  <c r="F22" i="12"/>
  <c r="G22" i="12" s="1"/>
  <c r="F21" i="12"/>
  <c r="G21" i="12" s="1"/>
  <c r="G20" i="12"/>
  <c r="F20" i="12"/>
  <c r="F19" i="12"/>
  <c r="G19" i="12" s="1"/>
  <c r="F18" i="12"/>
  <c r="G18" i="12" s="1"/>
  <c r="F17" i="12"/>
  <c r="G17" i="12" s="1"/>
  <c r="G16" i="12"/>
  <c r="F16" i="12"/>
  <c r="E12" i="12"/>
  <c r="E49" i="12" s="1"/>
  <c r="D15" i="13" s="1"/>
  <c r="D12" i="12"/>
  <c r="F12" i="12" s="1"/>
  <c r="C12" i="12"/>
  <c r="C49" i="12" s="1"/>
  <c r="B15" i="13" s="1"/>
  <c r="F11" i="12"/>
  <c r="G11" i="12" s="1"/>
  <c r="F10" i="12"/>
  <c r="G10" i="12" s="1"/>
  <c r="G9" i="12"/>
  <c r="F9" i="12"/>
  <c r="F8" i="12"/>
  <c r="G8" i="12" s="1"/>
  <c r="F7" i="12"/>
  <c r="G7" i="12" s="1"/>
  <c r="F6" i="12"/>
  <c r="G6" i="12" s="1"/>
  <c r="G5" i="12"/>
  <c r="F5" i="12"/>
  <c r="E56" i="11"/>
  <c r="D56" i="11"/>
  <c r="F56" i="11" s="1"/>
  <c r="C56" i="11"/>
  <c r="F55" i="11"/>
  <c r="G55" i="11" s="1"/>
  <c r="G54" i="11"/>
  <c r="F54" i="11"/>
  <c r="G53" i="11"/>
  <c r="F53" i="11"/>
  <c r="F52" i="11"/>
  <c r="G52" i="11" s="1"/>
  <c r="F51" i="11"/>
  <c r="G51" i="11" s="1"/>
  <c r="G50" i="11"/>
  <c r="F50" i="11"/>
  <c r="G49" i="11"/>
  <c r="F49" i="11"/>
  <c r="E45" i="11"/>
  <c r="D45" i="11"/>
  <c r="C45" i="11"/>
  <c r="F44" i="11"/>
  <c r="G44" i="11" s="1"/>
  <c r="F43" i="11"/>
  <c r="G43" i="11" s="1"/>
  <c r="G42" i="11"/>
  <c r="F42" i="11"/>
  <c r="G41" i="11"/>
  <c r="F41" i="11"/>
  <c r="F40" i="11"/>
  <c r="G40" i="11" s="1"/>
  <c r="F39" i="11"/>
  <c r="G39" i="11" s="1"/>
  <c r="G38" i="11"/>
  <c r="F38" i="11"/>
  <c r="E34" i="11"/>
  <c r="D34" i="11"/>
  <c r="F34" i="11" s="1"/>
  <c r="G34" i="11" s="1"/>
  <c r="C34" i="11"/>
  <c r="F33" i="11"/>
  <c r="G33" i="11" s="1"/>
  <c r="F32" i="11"/>
  <c r="G32" i="11" s="1"/>
  <c r="G31" i="11"/>
  <c r="F31" i="11"/>
  <c r="G30" i="11"/>
  <c r="F30" i="11"/>
  <c r="F29" i="11"/>
  <c r="G29" i="11" s="1"/>
  <c r="F28" i="11"/>
  <c r="G28" i="11" s="1"/>
  <c r="G27" i="11"/>
  <c r="F27" i="11"/>
  <c r="E23" i="11"/>
  <c r="D23" i="11"/>
  <c r="C23" i="11"/>
  <c r="G22" i="11"/>
  <c r="F22" i="11"/>
  <c r="F21" i="11"/>
  <c r="G21" i="11" s="1"/>
  <c r="F20" i="11"/>
  <c r="G20" i="11" s="1"/>
  <c r="G19" i="11"/>
  <c r="F19" i="11"/>
  <c r="G18" i="11"/>
  <c r="F18" i="11"/>
  <c r="F17" i="11"/>
  <c r="G17" i="11" s="1"/>
  <c r="F16" i="11"/>
  <c r="G16" i="11" s="1"/>
  <c r="E12" i="11"/>
  <c r="E60" i="11" s="1"/>
  <c r="D14" i="13" s="1"/>
  <c r="D12" i="11"/>
  <c r="C12" i="11"/>
  <c r="C60" i="11" s="1"/>
  <c r="B14" i="13" s="1"/>
  <c r="G11" i="11"/>
  <c r="F11" i="11"/>
  <c r="F10" i="11"/>
  <c r="G10" i="11" s="1"/>
  <c r="F9" i="11"/>
  <c r="G9" i="11" s="1"/>
  <c r="G8" i="11"/>
  <c r="F8" i="11"/>
  <c r="G7" i="11"/>
  <c r="F7" i="11"/>
  <c r="F6" i="11"/>
  <c r="G6" i="11" s="1"/>
  <c r="F5" i="11"/>
  <c r="G5" i="11" s="1"/>
  <c r="E45" i="10"/>
  <c r="F45" i="10" s="1"/>
  <c r="G45" i="10" s="1"/>
  <c r="D45" i="10"/>
  <c r="C45" i="10"/>
  <c r="G44" i="10"/>
  <c r="F44" i="10"/>
  <c r="F43" i="10"/>
  <c r="G43" i="10" s="1"/>
  <c r="F42" i="10"/>
  <c r="G42" i="10" s="1"/>
  <c r="F41" i="10"/>
  <c r="G41" i="10" s="1"/>
  <c r="G40" i="10"/>
  <c r="F40" i="10"/>
  <c r="F39" i="10"/>
  <c r="G39" i="10" s="1"/>
  <c r="F38" i="10"/>
  <c r="G38" i="10" s="1"/>
  <c r="E34" i="10"/>
  <c r="D34" i="10"/>
  <c r="C34" i="10"/>
  <c r="G33" i="10"/>
  <c r="F33" i="10"/>
  <c r="G32" i="10"/>
  <c r="F32" i="10"/>
  <c r="F31" i="10"/>
  <c r="G31" i="10" s="1"/>
  <c r="F30" i="10"/>
  <c r="G30" i="10" s="1"/>
  <c r="G29" i="10"/>
  <c r="F29" i="10"/>
  <c r="G28" i="10"/>
  <c r="F28" i="10"/>
  <c r="F27" i="10"/>
  <c r="G27" i="10" s="1"/>
  <c r="E23" i="10"/>
  <c r="E49" i="10" s="1"/>
  <c r="D13" i="13" s="1"/>
  <c r="D23" i="10"/>
  <c r="C23" i="10"/>
  <c r="F22" i="10"/>
  <c r="G22" i="10" s="1"/>
  <c r="G21" i="10"/>
  <c r="F21" i="10"/>
  <c r="F20" i="10"/>
  <c r="G20" i="10" s="1"/>
  <c r="F19" i="10"/>
  <c r="G19" i="10" s="1"/>
  <c r="F18" i="10"/>
  <c r="G18" i="10" s="1"/>
  <c r="G17" i="10"/>
  <c r="F17" i="10"/>
  <c r="F16" i="10"/>
  <c r="G16" i="10" s="1"/>
  <c r="F12" i="10"/>
  <c r="G12" i="10" s="1"/>
  <c r="E12" i="10"/>
  <c r="D12" i="10"/>
  <c r="D49" i="10" s="1"/>
  <c r="C12" i="10"/>
  <c r="C49" i="10" s="1"/>
  <c r="B13" i="13" s="1"/>
  <c r="F11" i="10"/>
  <c r="G11" i="10" s="1"/>
  <c r="G10" i="10"/>
  <c r="F10" i="10"/>
  <c r="G9" i="10"/>
  <c r="F9" i="10"/>
  <c r="F8" i="10"/>
  <c r="G8" i="10" s="1"/>
  <c r="F7" i="10"/>
  <c r="G7" i="10" s="1"/>
  <c r="G6" i="10"/>
  <c r="F6" i="10"/>
  <c r="G5" i="10"/>
  <c r="F5" i="10"/>
  <c r="F45" i="9"/>
  <c r="G45" i="9" s="1"/>
  <c r="E45" i="9"/>
  <c r="D45" i="9"/>
  <c r="C45" i="9"/>
  <c r="F44" i="9"/>
  <c r="G44" i="9" s="1"/>
  <c r="G43" i="9"/>
  <c r="F43" i="9"/>
  <c r="G42" i="9"/>
  <c r="F42" i="9"/>
  <c r="F41" i="9"/>
  <c r="G41" i="9" s="1"/>
  <c r="F40" i="9"/>
  <c r="G40" i="9" s="1"/>
  <c r="G39" i="9"/>
  <c r="F39" i="9"/>
  <c r="G38" i="9"/>
  <c r="F38" i="9"/>
  <c r="F34" i="9"/>
  <c r="E34" i="9"/>
  <c r="D34" i="9"/>
  <c r="G34" i="9" s="1"/>
  <c r="C34" i="9"/>
  <c r="C49" i="9" s="1"/>
  <c r="B12" i="13" s="1"/>
  <c r="F33" i="9"/>
  <c r="G33" i="9" s="1"/>
  <c r="F32" i="9"/>
  <c r="G32" i="9" s="1"/>
  <c r="G31" i="9"/>
  <c r="F31" i="9"/>
  <c r="F30" i="9"/>
  <c r="G30" i="9" s="1"/>
  <c r="F29" i="9"/>
  <c r="G29" i="9" s="1"/>
  <c r="F28" i="9"/>
  <c r="G28" i="9" s="1"/>
  <c r="G27" i="9"/>
  <c r="F27" i="9"/>
  <c r="E23" i="9"/>
  <c r="D23" i="9"/>
  <c r="C23" i="9"/>
  <c r="F22" i="9"/>
  <c r="G22" i="9" s="1"/>
  <c r="F21" i="9"/>
  <c r="G21" i="9" s="1"/>
  <c r="G20" i="9"/>
  <c r="F20" i="9"/>
  <c r="G19" i="9"/>
  <c r="F19" i="9"/>
  <c r="F18" i="9"/>
  <c r="G18" i="9" s="1"/>
  <c r="F17" i="9"/>
  <c r="G17" i="9" s="1"/>
  <c r="G16" i="9"/>
  <c r="F16" i="9"/>
  <c r="E12" i="9"/>
  <c r="E49" i="9" s="1"/>
  <c r="D12" i="13" s="1"/>
  <c r="D12" i="9"/>
  <c r="D49" i="9" s="1"/>
  <c r="C12" i="9"/>
  <c r="F11" i="9"/>
  <c r="G11" i="9" s="1"/>
  <c r="F10" i="9"/>
  <c r="G10" i="9" s="1"/>
  <c r="G9" i="9"/>
  <c r="F9" i="9"/>
  <c r="G8" i="9"/>
  <c r="F8" i="9"/>
  <c r="F7" i="9"/>
  <c r="G7" i="9" s="1"/>
  <c r="F6" i="9"/>
  <c r="G6" i="9" s="1"/>
  <c r="G5" i="9"/>
  <c r="F5" i="9"/>
  <c r="E45" i="8"/>
  <c r="D45" i="8"/>
  <c r="F45" i="8" s="1"/>
  <c r="G45" i="8" s="1"/>
  <c r="C45" i="8"/>
  <c r="F44" i="8"/>
  <c r="G44" i="8" s="1"/>
  <c r="F43" i="8"/>
  <c r="G43" i="8" s="1"/>
  <c r="G42" i="8"/>
  <c r="F42" i="8"/>
  <c r="G41" i="8"/>
  <c r="F41" i="8"/>
  <c r="F40" i="8"/>
  <c r="G40" i="8" s="1"/>
  <c r="F39" i="8"/>
  <c r="G39" i="8" s="1"/>
  <c r="G38" i="8"/>
  <c r="F38" i="8"/>
  <c r="E34" i="8"/>
  <c r="D34" i="8"/>
  <c r="C34" i="8"/>
  <c r="C49" i="8" s="1"/>
  <c r="B11" i="13" s="1"/>
  <c r="G33" i="8"/>
  <c r="F33" i="8"/>
  <c r="F32" i="8"/>
  <c r="G32" i="8" s="1"/>
  <c r="F31" i="8"/>
  <c r="G31" i="8" s="1"/>
  <c r="G30" i="8"/>
  <c r="F30" i="8"/>
  <c r="G29" i="8"/>
  <c r="F29" i="8"/>
  <c r="F28" i="8"/>
  <c r="G28" i="8" s="1"/>
  <c r="F27" i="8"/>
  <c r="G27" i="8" s="1"/>
  <c r="E23" i="8"/>
  <c r="F23" i="8" s="1"/>
  <c r="G23" i="8" s="1"/>
  <c r="D23" i="8"/>
  <c r="C23" i="8"/>
  <c r="G22" i="8"/>
  <c r="F22" i="8"/>
  <c r="F21" i="8"/>
  <c r="G21" i="8" s="1"/>
  <c r="F20" i="8"/>
  <c r="G20" i="8" s="1"/>
  <c r="F19" i="8"/>
  <c r="G19" i="8" s="1"/>
  <c r="G18" i="8"/>
  <c r="F18" i="8"/>
  <c r="F17" i="8"/>
  <c r="G17" i="8" s="1"/>
  <c r="F16" i="8"/>
  <c r="G16" i="8" s="1"/>
  <c r="E12" i="8"/>
  <c r="E49" i="8" s="1"/>
  <c r="D11" i="13" s="1"/>
  <c r="D12" i="8"/>
  <c r="C12" i="8"/>
  <c r="G11" i="8"/>
  <c r="F11" i="8"/>
  <c r="G10" i="8"/>
  <c r="F10" i="8"/>
  <c r="F9" i="8"/>
  <c r="G9" i="8" s="1"/>
  <c r="F8" i="8"/>
  <c r="G8" i="8" s="1"/>
  <c r="G7" i="8"/>
  <c r="F7" i="8"/>
  <c r="G6" i="8"/>
  <c r="F6" i="8"/>
  <c r="F5" i="8"/>
  <c r="G5" i="8" s="1"/>
  <c r="E56" i="7"/>
  <c r="D56" i="7"/>
  <c r="C56" i="7"/>
  <c r="G55" i="7"/>
  <c r="F55" i="7"/>
  <c r="G54" i="7"/>
  <c r="F54" i="7"/>
  <c r="F53" i="7"/>
  <c r="G53" i="7" s="1"/>
  <c r="F52" i="7"/>
  <c r="G52" i="7" s="1"/>
  <c r="G51" i="7"/>
  <c r="F51" i="7"/>
  <c r="G50" i="7"/>
  <c r="F50" i="7"/>
  <c r="F49" i="7"/>
  <c r="G49" i="7" s="1"/>
  <c r="E45" i="7"/>
  <c r="E60" i="7" s="1"/>
  <c r="D10" i="13" s="1"/>
  <c r="D45" i="7"/>
  <c r="C45" i="7"/>
  <c r="C60" i="7" s="1"/>
  <c r="B10" i="13" s="1"/>
  <c r="F44" i="7"/>
  <c r="G44" i="7" s="1"/>
  <c r="G43" i="7"/>
  <c r="F43" i="7"/>
  <c r="F42" i="7"/>
  <c r="G42" i="7" s="1"/>
  <c r="F41" i="7"/>
  <c r="G41" i="7" s="1"/>
  <c r="F40" i="7"/>
  <c r="G40" i="7" s="1"/>
  <c r="G39" i="7"/>
  <c r="F39" i="7"/>
  <c r="F38" i="7"/>
  <c r="G38" i="7" s="1"/>
  <c r="F34" i="7"/>
  <c r="G34" i="7" s="1"/>
  <c r="E34" i="7"/>
  <c r="D34" i="7"/>
  <c r="C34" i="7"/>
  <c r="F33" i="7"/>
  <c r="G33" i="7" s="1"/>
  <c r="G32" i="7"/>
  <c r="F32" i="7"/>
  <c r="G31" i="7"/>
  <c r="F31" i="7"/>
  <c r="F30" i="7"/>
  <c r="G30" i="7" s="1"/>
  <c r="F29" i="7"/>
  <c r="G29" i="7" s="1"/>
  <c r="G28" i="7"/>
  <c r="F28" i="7"/>
  <c r="G27" i="7"/>
  <c r="F27" i="7"/>
  <c r="F23" i="7"/>
  <c r="E23" i="7"/>
  <c r="D23" i="7"/>
  <c r="G23" i="7" s="1"/>
  <c r="C23" i="7"/>
  <c r="F22" i="7"/>
  <c r="G22" i="7" s="1"/>
  <c r="F21" i="7"/>
  <c r="G21" i="7" s="1"/>
  <c r="G20" i="7"/>
  <c r="F20" i="7"/>
  <c r="F19" i="7"/>
  <c r="G19" i="7" s="1"/>
  <c r="F18" i="7"/>
  <c r="G18" i="7" s="1"/>
  <c r="F17" i="7"/>
  <c r="G17" i="7" s="1"/>
  <c r="G16" i="7"/>
  <c r="F16" i="7"/>
  <c r="E12" i="7"/>
  <c r="D12" i="7"/>
  <c r="F12" i="7" s="1"/>
  <c r="C12" i="7"/>
  <c r="F11" i="7"/>
  <c r="G11" i="7" s="1"/>
  <c r="F10" i="7"/>
  <c r="G10" i="7" s="1"/>
  <c r="G9" i="7"/>
  <c r="F9" i="7"/>
  <c r="G8" i="7"/>
  <c r="F8" i="7"/>
  <c r="F7" i="7"/>
  <c r="G7" i="7" s="1"/>
  <c r="F6" i="7"/>
  <c r="G6" i="7" s="1"/>
  <c r="G5" i="7"/>
  <c r="F5" i="7"/>
  <c r="E45" i="6"/>
  <c r="D45" i="6"/>
  <c r="F45" i="6" s="1"/>
  <c r="C45" i="6"/>
  <c r="F44" i="6"/>
  <c r="G44" i="6" s="1"/>
  <c r="F43" i="6"/>
  <c r="G43" i="6" s="1"/>
  <c r="G42" i="6"/>
  <c r="F42" i="6"/>
  <c r="G41" i="6"/>
  <c r="F41" i="6"/>
  <c r="F40" i="6"/>
  <c r="G40" i="6" s="1"/>
  <c r="F39" i="6"/>
  <c r="G39" i="6" s="1"/>
  <c r="G38" i="6"/>
  <c r="F38" i="6"/>
  <c r="E34" i="6"/>
  <c r="D34" i="6"/>
  <c r="F34" i="6" s="1"/>
  <c r="G34" i="6" s="1"/>
  <c r="C34" i="6"/>
  <c r="F33" i="6"/>
  <c r="G33" i="6" s="1"/>
  <c r="F32" i="6"/>
  <c r="G32" i="6" s="1"/>
  <c r="G31" i="6"/>
  <c r="F31" i="6"/>
  <c r="G30" i="6"/>
  <c r="F30" i="6"/>
  <c r="F29" i="6"/>
  <c r="G29" i="6" s="1"/>
  <c r="F28" i="6"/>
  <c r="G28" i="6" s="1"/>
  <c r="G27" i="6"/>
  <c r="F27" i="6"/>
  <c r="E23" i="6"/>
  <c r="D23" i="6"/>
  <c r="C23" i="6"/>
  <c r="G22" i="6"/>
  <c r="F22" i="6"/>
  <c r="F21" i="6"/>
  <c r="G21" i="6" s="1"/>
  <c r="F20" i="6"/>
  <c r="G20" i="6" s="1"/>
  <c r="G19" i="6"/>
  <c r="F19" i="6"/>
  <c r="G18" i="6"/>
  <c r="F18" i="6"/>
  <c r="F17" i="6"/>
  <c r="G17" i="6" s="1"/>
  <c r="F16" i="6"/>
  <c r="G16" i="6" s="1"/>
  <c r="E12" i="6"/>
  <c r="F12" i="6" s="1"/>
  <c r="G12" i="6" s="1"/>
  <c r="D12" i="6"/>
  <c r="D49" i="6" s="1"/>
  <c r="C12" i="6"/>
  <c r="C49" i="6" s="1"/>
  <c r="B9" i="13" s="1"/>
  <c r="G11" i="6"/>
  <c r="F11" i="6"/>
  <c r="F10" i="6"/>
  <c r="G10" i="6" s="1"/>
  <c r="F9" i="6"/>
  <c r="G9" i="6" s="1"/>
  <c r="F8" i="6"/>
  <c r="G8" i="6" s="1"/>
  <c r="G7" i="6"/>
  <c r="F7" i="6"/>
  <c r="F6" i="6"/>
  <c r="G6" i="6" s="1"/>
  <c r="F5" i="6"/>
  <c r="G5" i="6" s="1"/>
  <c r="E45" i="5"/>
  <c r="F45" i="5" s="1"/>
  <c r="G45" i="5" s="1"/>
  <c r="D45" i="5"/>
  <c r="C45" i="5"/>
  <c r="G44" i="5"/>
  <c r="F44" i="5"/>
  <c r="F43" i="5"/>
  <c r="G43" i="5" s="1"/>
  <c r="F42" i="5"/>
  <c r="G42" i="5" s="1"/>
  <c r="F41" i="5"/>
  <c r="G41" i="5" s="1"/>
  <c r="G40" i="5"/>
  <c r="F40" i="5"/>
  <c r="F39" i="5"/>
  <c r="G39" i="5" s="1"/>
  <c r="F38" i="5"/>
  <c r="G38" i="5" s="1"/>
  <c r="F34" i="5"/>
  <c r="E34" i="5"/>
  <c r="D34" i="5"/>
  <c r="G34" i="5" s="1"/>
  <c r="C34" i="5"/>
  <c r="G33" i="5"/>
  <c r="F33" i="5"/>
  <c r="G32" i="5"/>
  <c r="F32" i="5"/>
  <c r="G31" i="5"/>
  <c r="F31" i="5"/>
  <c r="F30" i="5"/>
  <c r="G30" i="5" s="1"/>
  <c r="G29" i="5"/>
  <c r="F29" i="5"/>
  <c r="G28" i="5"/>
  <c r="F28" i="5"/>
  <c r="G27" i="5"/>
  <c r="F27" i="5"/>
  <c r="E23" i="5"/>
  <c r="D23" i="5"/>
  <c r="C23" i="5"/>
  <c r="F22" i="5"/>
  <c r="G22" i="5" s="1"/>
  <c r="G21" i="5"/>
  <c r="F21" i="5"/>
  <c r="F20" i="5"/>
  <c r="G20" i="5" s="1"/>
  <c r="F19" i="5"/>
  <c r="G19" i="5" s="1"/>
  <c r="F18" i="5"/>
  <c r="G18" i="5" s="1"/>
  <c r="G17" i="5"/>
  <c r="F17" i="5"/>
  <c r="F16" i="5"/>
  <c r="G16" i="5" s="1"/>
  <c r="F12" i="5"/>
  <c r="G12" i="5" s="1"/>
  <c r="E12" i="5"/>
  <c r="E49" i="5" s="1"/>
  <c r="D8" i="13" s="1"/>
  <c r="D12" i="5"/>
  <c r="D49" i="5" s="1"/>
  <c r="C12" i="5"/>
  <c r="C49" i="5" s="1"/>
  <c r="B8" i="13" s="1"/>
  <c r="F11" i="5"/>
  <c r="G11" i="5" s="1"/>
  <c r="G10" i="5"/>
  <c r="F10" i="5"/>
  <c r="G9" i="5"/>
  <c r="F9" i="5"/>
  <c r="G8" i="5"/>
  <c r="F8" i="5"/>
  <c r="F7" i="5"/>
  <c r="G7" i="5" s="1"/>
  <c r="G6" i="5"/>
  <c r="F6" i="5"/>
  <c r="G5" i="5"/>
  <c r="F5" i="5"/>
  <c r="F56" i="4"/>
  <c r="G56" i="4" s="1"/>
  <c r="E56" i="4"/>
  <c r="D56" i="4"/>
  <c r="C56" i="4"/>
  <c r="F55" i="4"/>
  <c r="G55" i="4" s="1"/>
  <c r="G54" i="4"/>
  <c r="F54" i="4"/>
  <c r="G53" i="4"/>
  <c r="F53" i="4"/>
  <c r="F52" i="4"/>
  <c r="G52" i="4" s="1"/>
  <c r="F51" i="4"/>
  <c r="G51" i="4" s="1"/>
  <c r="G50" i="4"/>
  <c r="F50" i="4"/>
  <c r="G49" i="4"/>
  <c r="F49" i="4"/>
  <c r="F45" i="4"/>
  <c r="G45" i="4" s="1"/>
  <c r="E45" i="4"/>
  <c r="D45" i="4"/>
  <c r="C45" i="4"/>
  <c r="C60" i="4" s="1"/>
  <c r="B7" i="13" s="1"/>
  <c r="F44" i="4"/>
  <c r="G44" i="4" s="1"/>
  <c r="F43" i="4"/>
  <c r="G43" i="4" s="1"/>
  <c r="G42" i="4"/>
  <c r="F42" i="4"/>
  <c r="F41" i="4"/>
  <c r="G41" i="4" s="1"/>
  <c r="F40" i="4"/>
  <c r="G40" i="4" s="1"/>
  <c r="F39" i="4"/>
  <c r="G39" i="4" s="1"/>
  <c r="G38" i="4"/>
  <c r="F38" i="4"/>
  <c r="E34" i="4"/>
  <c r="D34" i="4"/>
  <c r="F34" i="4" s="1"/>
  <c r="C34" i="4"/>
  <c r="F33" i="4"/>
  <c r="G33" i="4" s="1"/>
  <c r="F32" i="4"/>
  <c r="G32" i="4" s="1"/>
  <c r="G31" i="4"/>
  <c r="F31" i="4"/>
  <c r="G30" i="4"/>
  <c r="F30" i="4"/>
  <c r="F29" i="4"/>
  <c r="G29" i="4" s="1"/>
  <c r="F28" i="4"/>
  <c r="G28" i="4" s="1"/>
  <c r="G27" i="4"/>
  <c r="F27" i="4"/>
  <c r="E23" i="4"/>
  <c r="D23" i="4"/>
  <c r="F23" i="4" s="1"/>
  <c r="G23" i="4" s="1"/>
  <c r="C23" i="4"/>
  <c r="F22" i="4"/>
  <c r="G22" i="4" s="1"/>
  <c r="F21" i="4"/>
  <c r="G21" i="4" s="1"/>
  <c r="F20" i="4"/>
  <c r="G20" i="4" s="1"/>
  <c r="G19" i="4"/>
  <c r="F19" i="4"/>
  <c r="F18" i="4"/>
  <c r="G18" i="4" s="1"/>
  <c r="F17" i="4"/>
  <c r="G17" i="4" s="1"/>
  <c r="F16" i="4"/>
  <c r="G16" i="4" s="1"/>
  <c r="E12" i="4"/>
  <c r="E60" i="4" s="1"/>
  <c r="D7" i="13" s="1"/>
  <c r="D12" i="4"/>
  <c r="C12" i="4"/>
  <c r="G11" i="4"/>
  <c r="F11" i="4"/>
  <c r="F10" i="4"/>
  <c r="G10" i="4" s="1"/>
  <c r="G9" i="4"/>
  <c r="F9" i="4"/>
  <c r="G8" i="4"/>
  <c r="F8" i="4"/>
  <c r="G7" i="4"/>
  <c r="F7" i="4"/>
  <c r="F6" i="4"/>
  <c r="G6" i="4" s="1"/>
  <c r="G5" i="4"/>
  <c r="F5" i="4"/>
  <c r="E49" i="3"/>
  <c r="D6" i="13" s="1"/>
  <c r="E45" i="3"/>
  <c r="D45" i="3"/>
  <c r="C45" i="3"/>
  <c r="G44" i="3"/>
  <c r="F44" i="3"/>
  <c r="F43" i="3"/>
  <c r="G43" i="3" s="1"/>
  <c r="G42" i="3"/>
  <c r="F42" i="3"/>
  <c r="G41" i="3"/>
  <c r="F41" i="3"/>
  <c r="G40" i="3"/>
  <c r="F40" i="3"/>
  <c r="F39" i="3"/>
  <c r="G39" i="3" s="1"/>
  <c r="G38" i="3"/>
  <c r="F38" i="3"/>
  <c r="E34" i="3"/>
  <c r="F34" i="3" s="1"/>
  <c r="G34" i="3" s="1"/>
  <c r="D34" i="3"/>
  <c r="C34" i="3"/>
  <c r="G33" i="3"/>
  <c r="F33" i="3"/>
  <c r="F32" i="3"/>
  <c r="G32" i="3" s="1"/>
  <c r="F31" i="3"/>
  <c r="G31" i="3" s="1"/>
  <c r="F30" i="3"/>
  <c r="G30" i="3" s="1"/>
  <c r="G29" i="3"/>
  <c r="F29" i="3"/>
  <c r="F28" i="3"/>
  <c r="G28" i="3" s="1"/>
  <c r="F27" i="3"/>
  <c r="G27" i="3" s="1"/>
  <c r="F23" i="3"/>
  <c r="E23" i="3"/>
  <c r="D23" i="3"/>
  <c r="G23" i="3" s="1"/>
  <c r="C23" i="3"/>
  <c r="G22" i="3"/>
  <c r="F22" i="3"/>
  <c r="G21" i="3"/>
  <c r="F21" i="3"/>
  <c r="G20" i="3"/>
  <c r="F20" i="3"/>
  <c r="F19" i="3"/>
  <c r="G19" i="3" s="1"/>
  <c r="G18" i="3"/>
  <c r="F18" i="3"/>
  <c r="G17" i="3"/>
  <c r="F17" i="3"/>
  <c r="G16" i="3"/>
  <c r="F16" i="3"/>
  <c r="E12" i="3"/>
  <c r="D12" i="3"/>
  <c r="C12" i="3"/>
  <c r="C49" i="3" s="1"/>
  <c r="B6" i="13" s="1"/>
  <c r="F11" i="3"/>
  <c r="G11" i="3" s="1"/>
  <c r="G10" i="3"/>
  <c r="F10" i="3"/>
  <c r="F9" i="3"/>
  <c r="G9" i="3" s="1"/>
  <c r="F8" i="3"/>
  <c r="G8" i="3" s="1"/>
  <c r="F7" i="3"/>
  <c r="G7" i="3" s="1"/>
  <c r="G6" i="3"/>
  <c r="F6" i="3"/>
  <c r="F5" i="3"/>
  <c r="G5" i="3" s="1"/>
  <c r="E45" i="2"/>
  <c r="D45" i="2"/>
  <c r="C45" i="2"/>
  <c r="F44" i="2"/>
  <c r="G44" i="2" s="1"/>
  <c r="G43" i="2"/>
  <c r="F43" i="2"/>
  <c r="F42" i="2"/>
  <c r="G42" i="2" s="1"/>
  <c r="F41" i="2"/>
  <c r="G41" i="2" s="1"/>
  <c r="F40" i="2"/>
  <c r="G40" i="2" s="1"/>
  <c r="G39" i="2"/>
  <c r="F39" i="2"/>
  <c r="F38" i="2"/>
  <c r="G38" i="2" s="1"/>
  <c r="F34" i="2"/>
  <c r="G34" i="2" s="1"/>
  <c r="E34" i="2"/>
  <c r="D34" i="2"/>
  <c r="C34" i="2"/>
  <c r="G33" i="2"/>
  <c r="F33" i="2"/>
  <c r="G32" i="2"/>
  <c r="F32" i="2"/>
  <c r="G31" i="2"/>
  <c r="F31" i="2"/>
  <c r="F30" i="2"/>
  <c r="G30" i="2" s="1"/>
  <c r="G29" i="2"/>
  <c r="F29" i="2"/>
  <c r="G28" i="2"/>
  <c r="F28" i="2"/>
  <c r="G27" i="2"/>
  <c r="F27" i="2"/>
  <c r="F23" i="2"/>
  <c r="G23" i="2" s="1"/>
  <c r="E23" i="2"/>
  <c r="D23" i="2"/>
  <c r="C23" i="2"/>
  <c r="F22" i="2"/>
  <c r="G22" i="2" s="1"/>
  <c r="F21" i="2"/>
  <c r="G21" i="2" s="1"/>
  <c r="G20" i="2"/>
  <c r="F20" i="2"/>
  <c r="F19" i="2"/>
  <c r="G19" i="2" s="1"/>
  <c r="F18" i="2"/>
  <c r="G18" i="2" s="1"/>
  <c r="F17" i="2"/>
  <c r="G17" i="2" s="1"/>
  <c r="G16" i="2"/>
  <c r="F16" i="2"/>
  <c r="E12" i="2"/>
  <c r="E49" i="2" s="1"/>
  <c r="D5" i="13" s="1"/>
  <c r="D12" i="2"/>
  <c r="F12" i="2" s="1"/>
  <c r="C12" i="2"/>
  <c r="C49" i="2" s="1"/>
  <c r="B5" i="13" s="1"/>
  <c r="F11" i="2"/>
  <c r="G11" i="2" s="1"/>
  <c r="G10" i="2"/>
  <c r="F10" i="2"/>
  <c r="G9" i="2"/>
  <c r="F9" i="2"/>
  <c r="G8" i="2"/>
  <c r="F8" i="2"/>
  <c r="F7" i="2"/>
  <c r="G7" i="2" s="1"/>
  <c r="G6" i="2"/>
  <c r="F6" i="2"/>
  <c r="G5" i="2"/>
  <c r="F5" i="2"/>
  <c r="E56" i="1"/>
  <c r="D56" i="1"/>
  <c r="C56" i="1"/>
  <c r="F55" i="1"/>
  <c r="G55" i="1" s="1"/>
  <c r="F54" i="1"/>
  <c r="G54" i="1" s="1"/>
  <c r="G53" i="1"/>
  <c r="F53" i="1"/>
  <c r="F52" i="1"/>
  <c r="G52" i="1" s="1"/>
  <c r="F51" i="1"/>
  <c r="G51" i="1" s="1"/>
  <c r="F50" i="1"/>
  <c r="G50" i="1" s="1"/>
  <c r="F49" i="1"/>
  <c r="G49" i="1" s="1"/>
  <c r="E45" i="1"/>
  <c r="D45" i="1"/>
  <c r="F45" i="1" s="1"/>
  <c r="G45" i="1" s="1"/>
  <c r="C45" i="1"/>
  <c r="F44" i="1"/>
  <c r="G44" i="1" s="1"/>
  <c r="F43" i="1"/>
  <c r="G43" i="1" s="1"/>
  <c r="F42" i="1"/>
  <c r="G42" i="1" s="1"/>
  <c r="G41" i="1"/>
  <c r="F41" i="1"/>
  <c r="F40" i="1"/>
  <c r="G40" i="1" s="1"/>
  <c r="F39" i="1"/>
  <c r="G39" i="1" s="1"/>
  <c r="F38" i="1"/>
  <c r="G38" i="1" s="1"/>
  <c r="E34" i="1"/>
  <c r="D34" i="1"/>
  <c r="C34" i="1"/>
  <c r="G33" i="1"/>
  <c r="F33" i="1"/>
  <c r="F32" i="1"/>
  <c r="G32" i="1" s="1"/>
  <c r="G31" i="1"/>
  <c r="F31" i="1"/>
  <c r="G30" i="1"/>
  <c r="F30" i="1"/>
  <c r="G29" i="1"/>
  <c r="F29" i="1"/>
  <c r="F28" i="1"/>
  <c r="G28" i="1" s="1"/>
  <c r="G27" i="1"/>
  <c r="F27" i="1"/>
  <c r="E23" i="1"/>
  <c r="F23" i="1" s="1"/>
  <c r="G23" i="1" s="1"/>
  <c r="D23" i="1"/>
  <c r="C23" i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2" i="1"/>
  <c r="E12" i="1"/>
  <c r="D12" i="1"/>
  <c r="D60" i="1" s="1"/>
  <c r="C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E60" i="1" l="1"/>
  <c r="D4" i="13" s="1"/>
  <c r="C60" i="1"/>
  <c r="B4" i="13" s="1"/>
  <c r="B17" i="13" s="1"/>
  <c r="F49" i="9"/>
  <c r="C12" i="13"/>
  <c r="G49" i="9"/>
  <c r="G34" i="1"/>
  <c r="G34" i="10"/>
  <c r="G12" i="4"/>
  <c r="G23" i="5"/>
  <c r="G23" i="10"/>
  <c r="C9" i="13"/>
  <c r="G34" i="8"/>
  <c r="G45" i="11"/>
  <c r="F60" i="1"/>
  <c r="G60" i="1" s="1"/>
  <c r="C4" i="13"/>
  <c r="C8" i="13"/>
  <c r="F49" i="5"/>
  <c r="G49" i="5" s="1"/>
  <c r="C13" i="13"/>
  <c r="F49" i="10"/>
  <c r="G49" i="10" s="1"/>
  <c r="F45" i="11"/>
  <c r="D49" i="2"/>
  <c r="E49" i="6"/>
  <c r="D9" i="13" s="1"/>
  <c r="D17" i="13" s="1"/>
  <c r="F56" i="7"/>
  <c r="G56" i="7" s="1"/>
  <c r="F12" i="8"/>
  <c r="G12" i="8" s="1"/>
  <c r="F34" i="10"/>
  <c r="G56" i="11"/>
  <c r="G12" i="12"/>
  <c r="D60" i="11"/>
  <c r="F56" i="1"/>
  <c r="G56" i="1" s="1"/>
  <c r="G12" i="1"/>
  <c r="D49" i="3"/>
  <c r="F12" i="9"/>
  <c r="G12" i="9" s="1"/>
  <c r="D60" i="7"/>
  <c r="F12" i="11"/>
  <c r="G12" i="11" s="1"/>
  <c r="D49" i="12"/>
  <c r="D49" i="8"/>
  <c r="F23" i="9"/>
  <c r="G23" i="9" s="1"/>
  <c r="G12" i="2"/>
  <c r="F45" i="2"/>
  <c r="G45" i="2" s="1"/>
  <c r="F12" i="3"/>
  <c r="G12" i="3" s="1"/>
  <c r="G34" i="4"/>
  <c r="D60" i="4"/>
  <c r="F23" i="5"/>
  <c r="G45" i="6"/>
  <c r="G12" i="7"/>
  <c r="F45" i="7"/>
  <c r="G45" i="7" s="1"/>
  <c r="F23" i="10"/>
  <c r="F34" i="12"/>
  <c r="G34" i="12" s="1"/>
  <c r="F34" i="1"/>
  <c r="F45" i="3"/>
  <c r="G45" i="3" s="1"/>
  <c r="F12" i="4"/>
  <c r="F23" i="6"/>
  <c r="G23" i="6" s="1"/>
  <c r="F34" i="8"/>
  <c r="F23" i="11"/>
  <c r="G23" i="11" s="1"/>
  <c r="E13" i="13" l="1"/>
  <c r="F13" i="13"/>
  <c r="F49" i="3"/>
  <c r="G49" i="3" s="1"/>
  <c r="C6" i="13"/>
  <c r="C5" i="13"/>
  <c r="C17" i="13" s="1"/>
  <c r="F49" i="2"/>
  <c r="G49" i="2" s="1"/>
  <c r="F49" i="8"/>
  <c r="G49" i="8" s="1"/>
  <c r="C11" i="13"/>
  <c r="F60" i="11"/>
  <c r="G60" i="11"/>
  <c r="C14" i="13"/>
  <c r="E8" i="13"/>
  <c r="F8" i="13" s="1"/>
  <c r="C15" i="13"/>
  <c r="F49" i="12"/>
  <c r="G49" i="12" s="1"/>
  <c r="E4" i="13"/>
  <c r="F4" i="13" s="1"/>
  <c r="F49" i="6"/>
  <c r="G49" i="6" s="1"/>
  <c r="F12" i="13"/>
  <c r="E12" i="13"/>
  <c r="C7" i="13"/>
  <c r="F60" i="4"/>
  <c r="G60" i="4"/>
  <c r="E9" i="13"/>
  <c r="F9" i="13" s="1"/>
  <c r="C10" i="13"/>
  <c r="G60" i="7"/>
  <c r="F60" i="7"/>
  <c r="E17" i="13" l="1"/>
  <c r="F17" i="13" s="1"/>
  <c r="E10" i="13"/>
  <c r="F10" i="13" s="1"/>
  <c r="E6" i="13"/>
  <c r="F6" i="13" s="1"/>
  <c r="E11" i="13"/>
  <c r="F11" i="13" s="1"/>
  <c r="E14" i="13"/>
  <c r="F14" i="13" s="1"/>
  <c r="E7" i="13"/>
  <c r="F7" i="13" s="1"/>
  <c r="E5" i="13"/>
  <c r="F5" i="13"/>
  <c r="E15" i="13"/>
  <c r="F15" i="13" s="1"/>
</calcChain>
</file>

<file path=xl/sharedStrings.xml><?xml version="1.0" encoding="utf-8"?>
<sst xmlns="http://schemas.openxmlformats.org/spreadsheetml/2006/main" count="1252" uniqueCount="466">
  <si>
    <t>TERRANCE MASSEY - January 2026</t>
  </si>
  <si>
    <t>Week: Dec 29 - Jan 04</t>
  </si>
  <si>
    <t>Day</t>
  </si>
  <si>
    <t>Date</t>
  </si>
  <si>
    <t>Hours</t>
  </si>
  <si>
    <t>Daily Earnings</t>
  </si>
  <si>
    <t>Daily Goal</t>
  </si>
  <si>
    <t>Difference +/-</t>
  </si>
  <si>
    <t>Status</t>
  </si>
  <si>
    <t>Monday</t>
  </si>
  <si>
    <t>12/29/2025</t>
  </si>
  <si>
    <t>Tuesday</t>
  </si>
  <si>
    <t>12/30/2025</t>
  </si>
  <si>
    <t>Wednesday</t>
  </si>
  <si>
    <t>12/31/2025</t>
  </si>
  <si>
    <t>Thursday</t>
  </si>
  <si>
    <t>1/1/2026</t>
  </si>
  <si>
    <t>Friday</t>
  </si>
  <si>
    <t>1/2/2026</t>
  </si>
  <si>
    <t>Saturday</t>
  </si>
  <si>
    <t>1/3/2026</t>
  </si>
  <si>
    <t>Sunday</t>
  </si>
  <si>
    <t>1/4/2026</t>
  </si>
  <si>
    <t>Week Total</t>
  </si>
  <si>
    <t>Week: Jan 05 - Jan 11</t>
  </si>
  <si>
    <t>1/5/2026</t>
  </si>
  <si>
    <t>1/6/2026</t>
  </si>
  <si>
    <t>1/7/2026</t>
  </si>
  <si>
    <t>1/8/2026</t>
  </si>
  <si>
    <t>1/9/2026</t>
  </si>
  <si>
    <t>1/10/2026</t>
  </si>
  <si>
    <t>1/11/2026</t>
  </si>
  <si>
    <t>Week: Jan 12 - Jan 18</t>
  </si>
  <si>
    <t>1/12/2026</t>
  </si>
  <si>
    <t>1/13/2026</t>
  </si>
  <si>
    <t>1/14/2026</t>
  </si>
  <si>
    <t>1/15/2026</t>
  </si>
  <si>
    <t>1/16/2026</t>
  </si>
  <si>
    <t>1/17/2026</t>
  </si>
  <si>
    <t>1/18/2026</t>
  </si>
  <si>
    <t>Week: Jan 19 - Jan 25</t>
  </si>
  <si>
    <t>1/19/2026</t>
  </si>
  <si>
    <t>1/20/2026</t>
  </si>
  <si>
    <t>1/21/2026</t>
  </si>
  <si>
    <t>1/22/2026</t>
  </si>
  <si>
    <t>1/23/2026</t>
  </si>
  <si>
    <t>1/24/2026</t>
  </si>
  <si>
    <t>1/25/2026</t>
  </si>
  <si>
    <t>Week: Jan 26 - Feb 01</t>
  </si>
  <si>
    <t>1/26/2026</t>
  </si>
  <si>
    <t>1/27/2026</t>
  </si>
  <si>
    <t>1/28/2026</t>
  </si>
  <si>
    <t>1/29/2026</t>
  </si>
  <si>
    <t>1/30/2026</t>
  </si>
  <si>
    <t>1/31/2026</t>
  </si>
  <si>
    <t>2/1/2026</t>
  </si>
  <si>
    <t>JANUARY TOTAL</t>
  </si>
  <si>
    <t>MONTH TOTAL</t>
  </si>
  <si>
    <t>TERRANCE MASSEY - February 2026</t>
  </si>
  <si>
    <t>Week: Feb 02 - Feb 08</t>
  </si>
  <si>
    <t>2/2/2026</t>
  </si>
  <si>
    <t>2/3/2026</t>
  </si>
  <si>
    <t>2/4/2026</t>
  </si>
  <si>
    <t>2/5/2026</t>
  </si>
  <si>
    <t>2/6/2026</t>
  </si>
  <si>
    <t>2/7/2026</t>
  </si>
  <si>
    <t>2/8/2026</t>
  </si>
  <si>
    <t>Week: Feb 09 - Feb 15</t>
  </si>
  <si>
    <t>2/9/2026</t>
  </si>
  <si>
    <t>2/10/2026</t>
  </si>
  <si>
    <t>2/11/2026</t>
  </si>
  <si>
    <t>2/12/2026</t>
  </si>
  <si>
    <t>2/13/2026</t>
  </si>
  <si>
    <t>2/14/2026</t>
  </si>
  <si>
    <t>2/15/2026</t>
  </si>
  <si>
    <t>Week: Feb 16 - Feb 22</t>
  </si>
  <si>
    <t>2/16/2026</t>
  </si>
  <si>
    <t>2/17/2026</t>
  </si>
  <si>
    <t>2/18/2026</t>
  </si>
  <si>
    <t>2/19/2026</t>
  </si>
  <si>
    <t>2/20/2026</t>
  </si>
  <si>
    <t>2/21/2026</t>
  </si>
  <si>
    <t>2/22/2026</t>
  </si>
  <si>
    <t>Week: Feb 23 - Mar 01</t>
  </si>
  <si>
    <t>2/23/2026</t>
  </si>
  <si>
    <t>2/24/2026</t>
  </si>
  <si>
    <t>2/25/2026</t>
  </si>
  <si>
    <t>2/26/2026</t>
  </si>
  <si>
    <t>2/27/2026</t>
  </si>
  <si>
    <t>2/28/2026</t>
  </si>
  <si>
    <t>3/1/2026</t>
  </si>
  <si>
    <t>FEBRUARY TOTAL</t>
  </si>
  <si>
    <t>TERRANCE MASSEY - March 2026</t>
  </si>
  <si>
    <t>Week: Mar 02 - Mar 08</t>
  </si>
  <si>
    <t>3/2/2026</t>
  </si>
  <si>
    <t>3/3/2026</t>
  </si>
  <si>
    <t>3/4/2026</t>
  </si>
  <si>
    <t>3/5/2026</t>
  </si>
  <si>
    <t>3/6/2026</t>
  </si>
  <si>
    <t>3/7/2026</t>
  </si>
  <si>
    <t>3/8/2026</t>
  </si>
  <si>
    <t>Week: Mar 09 - Mar 15</t>
  </si>
  <si>
    <t>3/9/2026</t>
  </si>
  <si>
    <t>3/10/2026</t>
  </si>
  <si>
    <t>3/11/2026</t>
  </si>
  <si>
    <t>3/12/2026</t>
  </si>
  <si>
    <t>3/13/2026</t>
  </si>
  <si>
    <t>3/14/2026</t>
  </si>
  <si>
    <t>3/15/2026</t>
  </si>
  <si>
    <t>Week: Mar 16 - Mar 22</t>
  </si>
  <si>
    <t>3/16/2026</t>
  </si>
  <si>
    <t>3/17/2026</t>
  </si>
  <si>
    <t>3/18/2026</t>
  </si>
  <si>
    <t>3/19/2026</t>
  </si>
  <si>
    <t>3/20/2026</t>
  </si>
  <si>
    <t>3/21/2026</t>
  </si>
  <si>
    <t>3/22/2026</t>
  </si>
  <si>
    <t>Week: Mar 23 - Mar 29</t>
  </si>
  <si>
    <t>3/23/2026</t>
  </si>
  <si>
    <t>3/24/2026</t>
  </si>
  <si>
    <t>3/25/2026</t>
  </si>
  <si>
    <t>3/26/2026</t>
  </si>
  <si>
    <t>3/27/2026</t>
  </si>
  <si>
    <t>3/28/2026</t>
  </si>
  <si>
    <t>3/29/2026</t>
  </si>
  <si>
    <t>MARCH TOTAL</t>
  </si>
  <si>
    <t>TERRANCE MASSEY - April 2026</t>
  </si>
  <si>
    <t>Week: Mar 30 - Apr 05</t>
  </si>
  <si>
    <t>3/30/2026</t>
  </si>
  <si>
    <t>3/31/2026</t>
  </si>
  <si>
    <t>4/1/2026</t>
  </si>
  <si>
    <t>4/2/2026</t>
  </si>
  <si>
    <t>4/3/2026</t>
  </si>
  <si>
    <t>4/4/2026</t>
  </si>
  <si>
    <t>4/5/2026</t>
  </si>
  <si>
    <t>Week: Apr 06 - Apr 12</t>
  </si>
  <si>
    <t>4/6/2026</t>
  </si>
  <si>
    <t>4/7/2026</t>
  </si>
  <si>
    <t>4/8/2026</t>
  </si>
  <si>
    <t>4/9/2026</t>
  </si>
  <si>
    <t>4/10/2026</t>
  </si>
  <si>
    <t>4/11/2026</t>
  </si>
  <si>
    <t>4/12/2026</t>
  </si>
  <si>
    <t>Week: Apr 13 - Apr 19</t>
  </si>
  <si>
    <t>4/13/2026</t>
  </si>
  <si>
    <t>4/14/2026</t>
  </si>
  <si>
    <t>4/15/2026</t>
  </si>
  <si>
    <t>4/16/2026</t>
  </si>
  <si>
    <t>4/17/2026</t>
  </si>
  <si>
    <t>4/18/2026</t>
  </si>
  <si>
    <t>4/19/2026</t>
  </si>
  <si>
    <t>Week: Apr 20 - Apr 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</si>
  <si>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</si>
  <si>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</si>
  <si>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</si>
  <si>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</si>
  <si>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</si>
  <si>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</si>
  <si>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</si>
  <si>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Week: Apr 27 - May 03</t>
  </si>
  <si>
    <t>4/27/2026</t>
  </si>
  <si>
    <t>4/28/2026</t>
  </si>
  <si>
    <t>4/29/2026</t>
  </si>
  <si>
    <t>4/30/2026</t>
  </si>
  <si>
    <t>5/1/2026</t>
  </si>
  <si>
    <t>5/2/2026</t>
  </si>
  <si>
    <t>5/3/2026</t>
  </si>
  <si>
    <t>APRIL TOTAL</t>
  </si>
  <si>
    <t>TERRANCE MASSEY - May 2026</t>
  </si>
  <si>
    <t>Week: May 04 - May 10</t>
  </si>
  <si>
    <t>5/4/2026</t>
  </si>
  <si>
    <t>5/5/2026</t>
  </si>
  <si>
    <t>5/6/2026</t>
  </si>
  <si>
    <t>5/7/2026</t>
  </si>
  <si>
    <t>5/8/2026</t>
  </si>
  <si>
    <t>5/9/2026</t>
  </si>
  <si>
    <t>5/10/2026</t>
  </si>
  <si>
    <t>Week: May 11 - May 17</t>
  </si>
  <si>
    <t>5/11/2026</t>
  </si>
  <si>
    <t>5/12/2026</t>
  </si>
  <si>
    <t>5/13/2026</t>
  </si>
  <si>
    <t>5/14/2026</t>
  </si>
  <si>
    <t>5/15/2026</t>
  </si>
  <si>
    <t>5/16/2026</t>
  </si>
  <si>
    <t>5/17/2026</t>
  </si>
  <si>
    <t>Week: May 18 - May 24</t>
  </si>
  <si>
    <t>5/18/2026</t>
  </si>
  <si>
    <t>5/19/2026</t>
  </si>
  <si>
    <t>5/20/2026</t>
  </si>
  <si>
    <t>5/21/2026</t>
  </si>
  <si>
    <t>5/22/2026</t>
  </si>
  <si>
    <t>5/23/2026</t>
  </si>
  <si>
    <t>5/24/2026</t>
  </si>
  <si>
    <t>Week: May 25 - May 31</t>
  </si>
  <si>
    <t>5/25/2026</t>
  </si>
  <si>
    <t>5/26/2026</t>
  </si>
  <si>
    <t>5/27/2026</t>
  </si>
  <si>
    <t>5/28/2026</t>
  </si>
  <si>
    <t>5/29/2026</t>
  </si>
  <si>
    <t>5/30/2026</t>
  </si>
  <si>
    <t>5/31/2026</t>
  </si>
  <si>
    <t>MAY TOTAL</t>
  </si>
  <si>
    <t>TERRANCE MASSEY - June 2026</t>
  </si>
  <si>
    <t>Week: Jun 01 - Jun 07</t>
  </si>
  <si>
    <t>6/1/2026</t>
  </si>
  <si>
    <t>6/2/2026</t>
  </si>
  <si>
    <t>6/3/2026</t>
  </si>
  <si>
    <t>6/4/2026</t>
  </si>
  <si>
    <t>6/5/2026</t>
  </si>
  <si>
    <t>6/6/2026</t>
  </si>
  <si>
    <t>6/7/2026</t>
  </si>
  <si>
    <t>Week: Jun 08 - Jun 14</t>
  </si>
  <si>
    <t>6/8/2026</t>
  </si>
  <si>
    <t>6/9/2026</t>
  </si>
  <si>
    <t>6/10/2026</t>
  </si>
  <si>
    <t>6/11/2026</t>
  </si>
  <si>
    <t>6/12/2026</t>
  </si>
  <si>
    <t>6/13/2026</t>
  </si>
  <si>
    <t>6/14/2026</t>
  </si>
  <si>
    <t>Week: Jun 15 - Jun 21</t>
  </si>
  <si>
    <t>6/15/2026</t>
  </si>
  <si>
    <t>6/16/2026</t>
  </si>
  <si>
    <t>6/17/2026</t>
  </si>
  <si>
    <t>6/18/2026</t>
  </si>
  <si>
    <t>6/19/2026</t>
  </si>
  <si>
    <t>6/20/2026</t>
  </si>
  <si>
    <t>6/21/2026</t>
  </si>
  <si>
    <t>Week: Jun 22 - Jun 28</t>
  </si>
  <si>
    <t>6/22/2026</t>
  </si>
  <si>
    <t>6/23/2026</t>
  </si>
  <si>
    <t>6/24/2026</t>
  </si>
  <si>
    <t>6/25/2026</t>
  </si>
  <si>
    <t>6/26/2026</t>
  </si>
  <si>
    <t>6/27/2026</t>
  </si>
  <si>
    <t>6/28/2026</t>
  </si>
  <si>
    <t>JUNE TOTAL</t>
  </si>
  <si>
    <t>TERRANCE MASSEY - July 2026</t>
  </si>
  <si>
    <t>Week: Jun 29 - Jul 05</t>
  </si>
  <si>
    <t>6/29/2026</t>
  </si>
  <si>
    <t>6/30/2026</t>
  </si>
  <si>
    <t>7/1/2026</t>
  </si>
  <si>
    <t>7/2/2026</t>
  </si>
  <si>
    <t>7/3/2026</t>
  </si>
  <si>
    <t>7/4/2026</t>
  </si>
  <si>
    <t>7/5/2026</t>
  </si>
  <si>
    <t>Week: Jul 06 - Jul 12</t>
  </si>
  <si>
    <t>7/6/2026</t>
  </si>
  <si>
    <t>7/7/2026</t>
  </si>
  <si>
    <t>7/8/2026</t>
  </si>
  <si>
    <t>7/9/2026</t>
  </si>
  <si>
    <t>7/10/2026</t>
  </si>
  <si>
    <t>7/11/2026</t>
  </si>
  <si>
    <t>7/12/2026</t>
  </si>
  <si>
    <t>Week: Jul 13 - Jul 19</t>
  </si>
  <si>
    <t>7/13/2026</t>
  </si>
  <si>
    <t>7/14/2026</t>
  </si>
  <si>
    <t>7/15/2026</t>
  </si>
  <si>
    <t>7/16/2026</t>
  </si>
  <si>
    <t>7/17/2026</t>
  </si>
  <si>
    <t>7/18/2026</t>
  </si>
  <si>
    <t>7/19/2026</t>
  </si>
  <si>
    <t>Week: Jul 20 - Jul 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</si>
  <si>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</si>
  <si>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</si>
  <si>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</si>
  <si>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</si>
  <si>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</si>
  <si>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</si>
  <si>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</si>
  <si>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Week: Jul 27 - Aug 02</t>
  </si>
  <si>
    <t>7/27/2026</t>
  </si>
  <si>
    <t>7/28/2026</t>
  </si>
  <si>
    <t>7/29/2026</t>
  </si>
  <si>
    <t>7/30/2026</t>
  </si>
  <si>
    <t>7/31/2026</t>
  </si>
  <si>
    <t>8/1/2026</t>
  </si>
  <si>
    <t>8/2/2026</t>
  </si>
  <si>
    <t>JULY TOTAL</t>
  </si>
  <si>
    <t>TERRANCE MASSEY - August 2026</t>
  </si>
  <si>
    <t>Week: Aug 03 - Aug 09</t>
  </si>
  <si>
    <t>8/3/2026</t>
  </si>
  <si>
    <t>8/4/2026</t>
  </si>
  <si>
    <t>8/5/2026</t>
  </si>
  <si>
    <t>8/6/2026</t>
  </si>
  <si>
    <t>8/7/2026</t>
  </si>
  <si>
    <t>8/8/2026</t>
  </si>
  <si>
    <t>8/9/2026</t>
  </si>
  <si>
    <t>Week: Aug 10 - Aug 16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</si>
  <si>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</si>
  <si>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</si>
  <si>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</si>
  <si>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</si>
  <si>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</si>
  <si>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</si>
  <si>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</si>
  <si>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Week: Aug 17 - Aug 23</t>
  </si>
  <si>
    <t>8/17/2026</t>
  </si>
  <si>
    <t>8/18/2026</t>
  </si>
  <si>
    <t>8/19/2026</t>
  </si>
  <si>
    <t>8/20/2026</t>
  </si>
  <si>
    <t>8/21/2026</t>
  </si>
  <si>
    <t>8/22/2026</t>
  </si>
  <si>
    <t>8/23/2026</t>
  </si>
  <si>
    <t>Week: Aug 24 - Aug 30</t>
  </si>
  <si>
    <t>8/24/2026</t>
  </si>
  <si>
    <t>8/25/2026</t>
  </si>
  <si>
    <t>8/26/2026</t>
  </si>
  <si>
    <t>8/27/2026</t>
  </si>
  <si>
    <t>8/28/2026</t>
  </si>
  <si>
    <t>8/29/2026</t>
  </si>
  <si>
    <t>8/30/2026</t>
  </si>
  <si>
    <t>AUGUST TOTAL</t>
  </si>
  <si>
    <t>TERRANCE MASSEY - September 2026</t>
  </si>
  <si>
    <t>Week: Aug 31 - Sep 06</t>
  </si>
  <si>
    <t>8/31/2026</t>
  </si>
  <si>
    <t>9/1/2026</t>
  </si>
  <si>
    <t>9/2/2026</t>
  </si>
  <si>
    <t>9/3/2026</t>
  </si>
  <si>
    <t>9/4/2026</t>
  </si>
  <si>
    <t>9/5/2026</t>
  </si>
  <si>
    <t>9/6/2026</t>
  </si>
  <si>
    <t>Week: Sep 07 - Sep 13</t>
  </si>
  <si>
    <t>9/7/2026</t>
  </si>
  <si>
    <t>9/8/2026</t>
  </si>
  <si>
    <t>9/9/2026</t>
  </si>
  <si>
    <t>9/10/2026</t>
  </si>
  <si>
    <t>9/11/2026</t>
  </si>
  <si>
    <t>9/12/2026</t>
  </si>
  <si>
    <t>9/13/2026</t>
  </si>
  <si>
    <t>Week: Sep 14 - Sep 20</t>
  </si>
  <si>
    <t>9/14/2026</t>
  </si>
  <si>
    <t>9/15/2026</t>
  </si>
  <si>
    <t>9/16/2026</t>
  </si>
  <si>
    <t>9/17/2026</t>
  </si>
  <si>
    <t>9/18/2026</t>
  </si>
  <si>
    <t>9/19/2026</t>
  </si>
  <si>
    <t>9/20/2026</t>
  </si>
  <si>
    <t>Week: Sep 21 - Sep 27</t>
  </si>
  <si>
    <t>9/21/2026</t>
  </si>
  <si>
    <t>9/22/2026</t>
  </si>
  <si>
    <t>9/23/2026</t>
  </si>
  <si>
    <t>9/24/2026</t>
  </si>
  <si>
    <t>9/25/2026</t>
  </si>
  <si>
    <t>9/26/2026</t>
  </si>
  <si>
    <t>9/27/2026</t>
  </si>
  <si>
    <t>SEPTEMBER TOTAL</t>
  </si>
  <si>
    <t>TERRANCE MASSEY - October 2026</t>
  </si>
  <si>
    <t>Week: Oct 05 - Oct 11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</si>
  <si>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</si>
  <si>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</si>
  <si>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</si>
  <si>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</si>
  <si>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</si>
  <si>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</si>
  <si>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</si>
  <si>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Week: Oct 12 - Oct 18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</si>
  <si>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</si>
  <si>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</si>
  <si>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</si>
  <si>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</si>
  <si>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</si>
  <si>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</si>
  <si>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</si>
  <si>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Week: Oct 19 - Oct 25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</si>
  <si>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</si>
  <si>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</si>
  <si>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</si>
  <si>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</si>
  <si>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</si>
  <si>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</si>
  <si>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</si>
  <si>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Week: Oct 26 - Nov 01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</si>
  <si>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</si>
  <si>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</si>
  <si>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</si>
  <si>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</si>
  <si>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</si>
  <si>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</si>
  <si>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</si>
  <si>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OCTOBER TOTAL</t>
  </si>
  <si>
    <t>TERRANCE MASSEY - November 2026</t>
  </si>
  <si>
    <t>Week: Nov 02 - Nov 08</t>
  </si>
  <si>
    <t>11/2/2026</t>
  </si>
  <si>
    <t>11/3/2026</t>
  </si>
  <si>
    <t>11/4/2026</t>
  </si>
  <si>
    <t>11/5/2026</t>
  </si>
  <si>
    <t>11/6/2026</t>
  </si>
  <si>
    <t>11/7/2026</t>
  </si>
  <si>
    <t>11/8/2026</t>
  </si>
  <si>
    <t>Week: Nov 09 - Nov 15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</si>
  <si>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</si>
  <si>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</si>
  <si>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</si>
  <si>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</si>
  <si>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</si>
  <si>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</si>
  <si>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</si>
  <si>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Week: Nov 16 - Nov 22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</si>
  <si>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</si>
  <si>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</si>
  <si>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</si>
  <si>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</si>
  <si>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</si>
  <si>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</si>
  <si>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</si>
  <si>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Week: Nov 23 - Nov 29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</si>
  <si>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</si>
  <si>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</si>
  <si>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</si>
  <si>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</si>
  <si>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</si>
  <si>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</si>
  <si>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</si>
  <si>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Week: Nov 30 - Dec 06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</si>
  <si>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</si>
  <si>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</si>
  <si>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</si>
  <si>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</si>
  <si>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</si>
  <si>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</si>
  <si>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</si>
  <si>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NOVEMBER TOTAL</t>
  </si>
  <si>
    <t>TERRANCE MASSEY - December 2026</t>
  </si>
  <si>
    <t>Week: Dec 07 - Dec 13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</si>
  <si>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</si>
  <si>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</si>
  <si>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</si>
  <si>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</si>
  <si>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</si>
  <si>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</si>
  <si>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</si>
  <si>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Week: Dec 14 - Dec 20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</si>
  <si>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</si>
  <si>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</si>
  <si>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</si>
  <si>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</si>
  <si>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</si>
  <si>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</si>
  <si>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</si>
  <si>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Week: Dec 21 - Dec 27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</si>
  <si>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</si>
  <si>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</si>
  <si>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</si>
  <si>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</si>
  <si>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</si>
  <si>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</si>
  <si>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</si>
  <si>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DECEMBER TOTAL</t>
  </si>
  <si>
    <t>UBER EARNINGS - 2026 ANNUAL SUMMARY</t>
  </si>
  <si>
    <t>Month</t>
  </si>
  <si>
    <t>Total Hours</t>
  </si>
  <si>
    <t>Total Earnings</t>
  </si>
  <si>
    <t>Monthly Goal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</si>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</sst>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i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1F4E78"/>
        <bgColor rgb="FF1F4E78"/>
      </patternFill>
    </fill>
    <fill>
      <patternFill patternType="solid">
        <fgColor rgb="FFD0D0D0"/>
        <bgColor rgb="FFD0D0D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164" fontId="0" fillId="0" borderId="1" xfId="0" applyNumberFormat="1" applyBorder="1"/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/>
    <xf numFmtId="164" fontId="4" fillId="4" borderId="1" xfId="0" applyNumberFormat="1" applyFont="1" applyFill="1" applyBorder="1"/>
  </cellXfs>
  <cellStyles count="1">
    <cellStyle name="Normal" xfId="0" builtinId="0"/>
  </cellStyles>
  <dxfs count="100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9C0006"/>
      </font>
    </dxf>
    <dxf>
      <font>
        <b/>
        <color rgb="FF0061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opLeftCell="A21" zoomScale="140" zoomScaleNormal="140" workbookViewId="0">
      <selection activeCell="E49" sqref="E49:E55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0</v>
      </c>
    </row>
    <row r="3" spans="1:7" x14ac:dyDescent="0.3">
      <c r="A3" s="2" t="s">
        <v>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10</v>
      </c>
      <c r="C5" s="5">
        <v>7.04</v>
      </c>
      <c r="D5" s="6">
        <v>184.67</v>
      </c>
      <c r="E5" s="6">
        <v>150</v>
      </c>
      <c r="F5" s="6">
        <f t="shared" ref="F5:F11" si="0">IF(D5="","",D5-E5)</f>
        <v>34.669999999999987</v>
      </c>
      <c r="G5" s="4" t="str">
        <f t="shared" ref="G5:G11" si="1">IF(F5="","",IF(F5&gt;=0,"Goal Met","Below Goal"))</f>
        <v>Goal Met</v>
      </c>
    </row>
    <row r="6" spans="1:7" x14ac:dyDescent="0.3">
      <c r="A6" s="4" t="s">
        <v>11</v>
      </c>
      <c r="B6" s="4" t="s">
        <v>12</v>
      </c>
      <c r="C6" s="5">
        <v>6.27</v>
      </c>
      <c r="D6" s="6">
        <v>170.33</v>
      </c>
      <c r="E6" s="6">
        <v>150</v>
      </c>
      <c r="F6" s="6">
        <f t="shared" si="0"/>
        <v>20.330000000000013</v>
      </c>
      <c r="G6" s="4" t="str">
        <f t="shared" si="1"/>
        <v>Goal Met</v>
      </c>
    </row>
    <row r="7" spans="1:7" x14ac:dyDescent="0.3">
      <c r="A7" s="4" t="s">
        <v>13</v>
      </c>
      <c r="B7" s="4" t="s">
        <v>14</v>
      </c>
      <c r="C7" s="5">
        <v>10.08</v>
      </c>
      <c r="D7" s="6">
        <v>314.17</v>
      </c>
      <c r="E7" s="6">
        <v>150</v>
      </c>
      <c r="F7" s="6">
        <f t="shared" si="0"/>
        <v>164.17000000000002</v>
      </c>
      <c r="G7" s="4" t="str">
        <f t="shared" si="1"/>
        <v>Goal Met</v>
      </c>
    </row>
    <row r="8" spans="1:7" x14ac:dyDescent="0.3">
      <c r="A8" s="4" t="s">
        <v>15</v>
      </c>
      <c r="B8" s="4" t="s">
        <v>16</v>
      </c>
      <c r="C8" s="5">
        <v>6.43</v>
      </c>
      <c r="D8" s="6">
        <v>190.95</v>
      </c>
      <c r="E8" s="6">
        <v>150</v>
      </c>
      <c r="F8" s="6">
        <f t="shared" si="0"/>
        <v>40.949999999999989</v>
      </c>
      <c r="G8" s="4" t="str">
        <f t="shared" si="1"/>
        <v>Goal Met</v>
      </c>
    </row>
    <row r="9" spans="1:7" x14ac:dyDescent="0.3">
      <c r="A9" s="4" t="s">
        <v>17</v>
      </c>
      <c r="B9" s="4" t="s">
        <v>18</v>
      </c>
      <c r="C9" s="5">
        <v>4.18</v>
      </c>
      <c r="D9" s="6">
        <v>86.33</v>
      </c>
      <c r="E9" s="6">
        <v>150</v>
      </c>
      <c r="F9" s="6">
        <f t="shared" si="0"/>
        <v>-63.67</v>
      </c>
      <c r="G9" s="4" t="str">
        <f t="shared" si="1"/>
        <v>Below Goal</v>
      </c>
    </row>
    <row r="10" spans="1:7" x14ac:dyDescent="0.3">
      <c r="A10" s="4" t="s">
        <v>19</v>
      </c>
      <c r="B10" s="4" t="s">
        <v>20</v>
      </c>
      <c r="C10" s="5">
        <v>0</v>
      </c>
      <c r="D10" s="6">
        <v>0</v>
      </c>
      <c r="E10" s="6">
        <v>150</v>
      </c>
      <c r="F10" s="6">
        <f t="shared" si="0"/>
        <v>-150</v>
      </c>
      <c r="G10" s="4" t="str">
        <f t="shared" si="1"/>
        <v>Below Goal</v>
      </c>
    </row>
    <row r="11" spans="1:7" x14ac:dyDescent="0.3">
      <c r="A11" s="4" t="s">
        <v>21</v>
      </c>
      <c r="B11" s="4" t="s">
        <v>22</v>
      </c>
      <c r="C11" s="5">
        <v>0.28000000000000003</v>
      </c>
      <c r="D11" s="6">
        <v>31.73</v>
      </c>
      <c r="E11" s="6">
        <v>150</v>
      </c>
      <c r="F11" s="6">
        <f t="shared" si="0"/>
        <v>-118.27</v>
      </c>
      <c r="G11" s="4" t="str">
        <f t="shared" si="1"/>
        <v>Below Goal</v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35.08</v>
      </c>
      <c r="D12" s="9">
        <f>SUM(D5:D11)</f>
        <v>978.18000000000018</v>
      </c>
      <c r="E12" s="9">
        <f>SUM(E5:E11)</f>
        <v>1050</v>
      </c>
      <c r="F12" s="9">
        <f>D12-E12</f>
        <v>-71.819999999999823</v>
      </c>
      <c r="G12" s="7" t="str">
        <f>IF(D12="","",IF(F12&gt;=0,"Goal Met","Below Goal"))</f>
        <v>Below Goal</v>
      </c>
    </row>
    <row r="14" spans="1:7" x14ac:dyDescent="0.3">
      <c r="A14" s="2" t="s">
        <v>24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25</v>
      </c>
      <c r="C16" s="5">
        <v>4</v>
      </c>
      <c r="D16" s="6">
        <v>85.59</v>
      </c>
      <c r="E16" s="6">
        <v>150</v>
      </c>
      <c r="F16" s="6">
        <f t="shared" ref="F16:F22" si="2">IF(D16="","",D16-E16)</f>
        <v>-64.41</v>
      </c>
      <c r="G16" s="4" t="str">
        <f t="shared" ref="G16:G22" si="3">IF(F16="","",IF(F16&gt;=0,"Goal Met","Below Goal"))</f>
        <v>Below Goal</v>
      </c>
    </row>
    <row r="17" spans="1:7" x14ac:dyDescent="0.3">
      <c r="A17" s="4" t="s">
        <v>11</v>
      </c>
      <c r="B17" s="4" t="s">
        <v>26</v>
      </c>
      <c r="C17" s="5">
        <v>1.58</v>
      </c>
      <c r="D17" s="6">
        <v>43.94</v>
      </c>
      <c r="E17" s="6">
        <v>150</v>
      </c>
      <c r="F17" s="6">
        <f t="shared" si="2"/>
        <v>-106.06</v>
      </c>
      <c r="G17" s="4" t="str">
        <f t="shared" si="3"/>
        <v>Below Goal</v>
      </c>
    </row>
    <row r="18" spans="1:7" x14ac:dyDescent="0.3">
      <c r="A18" s="4" t="s">
        <v>13</v>
      </c>
      <c r="B18" s="4" t="s">
        <v>27</v>
      </c>
      <c r="C18" s="5">
        <v>4.1399999999999997</v>
      </c>
      <c r="D18" s="6">
        <v>122.01</v>
      </c>
      <c r="E18" s="6">
        <v>150</v>
      </c>
      <c r="F18" s="6">
        <f t="shared" si="2"/>
        <v>-27.989999999999995</v>
      </c>
      <c r="G18" s="4" t="str">
        <f t="shared" si="3"/>
        <v>Below Goal</v>
      </c>
    </row>
    <row r="19" spans="1:7" x14ac:dyDescent="0.3">
      <c r="A19" s="4" t="s">
        <v>15</v>
      </c>
      <c r="B19" s="4" t="s">
        <v>28</v>
      </c>
      <c r="C19" s="5">
        <v>3.43</v>
      </c>
      <c r="D19" s="6">
        <v>74.23</v>
      </c>
      <c r="E19" s="6">
        <v>150</v>
      </c>
      <c r="F19" s="6">
        <f t="shared" si="2"/>
        <v>-75.77</v>
      </c>
      <c r="G19" s="4" t="str">
        <f t="shared" si="3"/>
        <v>Below Goal</v>
      </c>
    </row>
    <row r="20" spans="1:7" x14ac:dyDescent="0.3">
      <c r="A20" s="4" t="s">
        <v>17</v>
      </c>
      <c r="B20" s="4" t="s">
        <v>29</v>
      </c>
      <c r="C20" s="5">
        <v>4.3600000000000003</v>
      </c>
      <c r="D20" s="6">
        <v>116.26</v>
      </c>
      <c r="E20" s="6">
        <v>150</v>
      </c>
      <c r="F20" s="6">
        <f t="shared" si="2"/>
        <v>-33.739999999999995</v>
      </c>
      <c r="G20" s="4" t="str">
        <f t="shared" si="3"/>
        <v>Below Goal</v>
      </c>
    </row>
    <row r="21" spans="1:7" x14ac:dyDescent="0.3">
      <c r="A21" s="4" t="s">
        <v>19</v>
      </c>
      <c r="B21" s="4" t="s">
        <v>30</v>
      </c>
      <c r="C21" s="5">
        <v>4.5599999999999996</v>
      </c>
      <c r="D21" s="6">
        <v>116.84</v>
      </c>
      <c r="E21" s="6">
        <v>150</v>
      </c>
      <c r="F21" s="6">
        <f t="shared" si="2"/>
        <v>-33.159999999999997</v>
      </c>
      <c r="G21" s="4" t="str">
        <f t="shared" si="3"/>
        <v>Below Goal</v>
      </c>
    </row>
    <row r="22" spans="1:7" x14ac:dyDescent="0.3">
      <c r="A22" s="4" t="s">
        <v>21</v>
      </c>
      <c r="B22" s="4" t="s">
        <v>31</v>
      </c>
      <c r="C22" s="5">
        <v>4.59</v>
      </c>
      <c r="D22" s="6">
        <v>112.09</v>
      </c>
      <c r="E22" s="6">
        <v>150</v>
      </c>
      <c r="F22" s="6">
        <f t="shared" si="2"/>
        <v>-37.909999999999997</v>
      </c>
      <c r="G22" s="4" t="str">
        <f t="shared" si="3"/>
        <v>Below Goal</v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28.26</v>
      </c>
      <c r="D23" s="9">
        <f>SUM(D16:D22)</f>
        <v>670.96</v>
      </c>
      <c r="E23" s="9">
        <f>SUM(E16:E22)</f>
        <v>1050</v>
      </c>
      <c r="F23" s="9">
        <f>D23-E23</f>
        <v>-379.03999999999996</v>
      </c>
      <c r="G23" s="7" t="str">
        <f>IF(D23="","",IF(F23&gt;=0,"Goal Met","Below Goal"))</f>
        <v>Below Goal</v>
      </c>
    </row>
    <row r="25" spans="1:7" x14ac:dyDescent="0.3">
      <c r="A25" s="2" t="s">
        <v>32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33</v>
      </c>
      <c r="C27" s="5">
        <v>3.28</v>
      </c>
      <c r="D27" s="6">
        <v>66.209999999999994</v>
      </c>
      <c r="E27" s="6">
        <v>150</v>
      </c>
      <c r="F27" s="6">
        <f t="shared" ref="F27:F33" si="4">IF(D27="","",D27-E27)</f>
        <v>-83.79</v>
      </c>
      <c r="G27" s="4" t="str">
        <f t="shared" ref="G27:G33" si="5">IF(F27="","",IF(F27&gt;=0,"Goal Met","Below Goal"))</f>
        <v>Below Goal</v>
      </c>
    </row>
    <row r="28" spans="1:7" x14ac:dyDescent="0.3">
      <c r="A28" s="4" t="s">
        <v>11</v>
      </c>
      <c r="B28" s="4" t="s">
        <v>34</v>
      </c>
      <c r="C28" s="5">
        <v>5.12</v>
      </c>
      <c r="D28" s="6">
        <v>152.29</v>
      </c>
      <c r="E28" s="6">
        <v>150</v>
      </c>
      <c r="F28" s="6">
        <f t="shared" si="4"/>
        <v>2.289999999999992</v>
      </c>
      <c r="G28" s="4" t="str">
        <f t="shared" si="5"/>
        <v>Goal Met</v>
      </c>
    </row>
    <row r="29" spans="1:7" x14ac:dyDescent="0.3">
      <c r="A29" s="4" t="s">
        <v>13</v>
      </c>
      <c r="B29" s="4" t="s">
        <v>35</v>
      </c>
      <c r="C29" s="5">
        <v>0</v>
      </c>
      <c r="D29" s="6">
        <v>0</v>
      </c>
      <c r="E29" s="6">
        <v>150</v>
      </c>
      <c r="F29" s="6">
        <f t="shared" si="4"/>
        <v>-150</v>
      </c>
      <c r="G29" s="4" t="str">
        <f t="shared" si="5"/>
        <v>Below Goal</v>
      </c>
    </row>
    <row r="30" spans="1:7" x14ac:dyDescent="0.3">
      <c r="A30" s="4" t="s">
        <v>15</v>
      </c>
      <c r="B30" s="4" t="s">
        <v>36</v>
      </c>
      <c r="C30" s="5">
        <v>4.37</v>
      </c>
      <c r="D30" s="6">
        <v>86.56</v>
      </c>
      <c r="E30" s="6">
        <v>150</v>
      </c>
      <c r="F30" s="6">
        <f t="shared" si="4"/>
        <v>-63.44</v>
      </c>
      <c r="G30" s="4" t="str">
        <f t="shared" si="5"/>
        <v>Below Goal</v>
      </c>
    </row>
    <row r="31" spans="1:7" x14ac:dyDescent="0.3">
      <c r="A31" s="4" t="s">
        <v>17</v>
      </c>
      <c r="B31" s="4" t="s">
        <v>37</v>
      </c>
      <c r="C31" s="5">
        <v>3.57</v>
      </c>
      <c r="D31" s="6">
        <v>99.01</v>
      </c>
      <c r="E31" s="6">
        <v>150</v>
      </c>
      <c r="F31" s="6">
        <f t="shared" si="4"/>
        <v>-50.989999999999995</v>
      </c>
      <c r="G31" s="4" t="str">
        <f t="shared" si="5"/>
        <v>Below Goal</v>
      </c>
    </row>
    <row r="32" spans="1:7" x14ac:dyDescent="0.3">
      <c r="A32" s="4" t="s">
        <v>19</v>
      </c>
      <c r="B32" s="4" t="s">
        <v>38</v>
      </c>
      <c r="C32" s="5">
        <v>5.49</v>
      </c>
      <c r="D32" s="6">
        <v>124.7</v>
      </c>
      <c r="E32" s="6">
        <v>150</v>
      </c>
      <c r="F32" s="6">
        <f t="shared" si="4"/>
        <v>-25.299999999999997</v>
      </c>
      <c r="G32" s="4" t="str">
        <f t="shared" si="5"/>
        <v>Below Goal</v>
      </c>
    </row>
    <row r="33" spans="1:7" x14ac:dyDescent="0.3">
      <c r="A33" s="4" t="s">
        <v>21</v>
      </c>
      <c r="B33" s="4" t="s">
        <v>39</v>
      </c>
      <c r="C33" s="5">
        <v>5.41</v>
      </c>
      <c r="D33" s="6">
        <v>169.34</v>
      </c>
      <c r="E33" s="6">
        <v>150</v>
      </c>
      <c r="F33" s="6">
        <f t="shared" si="4"/>
        <v>19.340000000000003</v>
      </c>
      <c r="G33" s="4" t="str">
        <f t="shared" si="5"/>
        <v>Goal Met</v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28.44</v>
      </c>
      <c r="D34" s="9">
        <f>SUM(D27:D33)</f>
        <v>698.11</v>
      </c>
      <c r="E34" s="9">
        <f>SUM(E27:E33)</f>
        <v>1050</v>
      </c>
      <c r="F34" s="9">
        <f>D34-E34</f>
        <v>-351.89</v>
      </c>
      <c r="G34" s="7" t="str">
        <f>IF(D34="","",IF(F34&gt;=0,"Goal Met","Below Goal"))</f>
        <v>Below Goal</v>
      </c>
    </row>
    <row r="36" spans="1:7" x14ac:dyDescent="0.3">
      <c r="A36" s="2" t="s">
        <v>40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41</v>
      </c>
      <c r="C38" s="5">
        <v>5.09</v>
      </c>
      <c r="D38" s="6">
        <v>124.82</v>
      </c>
      <c r="E38" s="6">
        <v>150</v>
      </c>
      <c r="F38" s="6">
        <f t="shared" ref="F38:F44" si="6">IF(D38="","",D38-E38)</f>
        <v>-25.180000000000007</v>
      </c>
      <c r="G38" s="4" t="str">
        <f t="shared" ref="G38:G44" si="7">IF(F38="","",IF(F38&gt;=0,"Goal Met","Below Goal"))</f>
        <v>Below Goal</v>
      </c>
    </row>
    <row r="39" spans="1:7" x14ac:dyDescent="0.3">
      <c r="A39" s="4" t="s">
        <v>11</v>
      </c>
      <c r="B39" s="4" t="s">
        <v>42</v>
      </c>
      <c r="C39" s="5">
        <v>6.12</v>
      </c>
      <c r="D39" s="6">
        <v>129.02000000000001</v>
      </c>
      <c r="E39" s="6">
        <v>150</v>
      </c>
      <c r="F39" s="6">
        <f t="shared" si="6"/>
        <v>-20.97999999999999</v>
      </c>
      <c r="G39" s="4" t="str">
        <f t="shared" si="7"/>
        <v>Below Goal</v>
      </c>
    </row>
    <row r="40" spans="1:7" x14ac:dyDescent="0.3">
      <c r="A40" s="4" t="s">
        <v>13</v>
      </c>
      <c r="B40" s="4" t="s">
        <v>43</v>
      </c>
      <c r="C40" s="5">
        <v>6.45</v>
      </c>
      <c r="D40" s="6">
        <v>183.47</v>
      </c>
      <c r="E40" s="6">
        <v>150</v>
      </c>
      <c r="F40" s="6">
        <f t="shared" si="6"/>
        <v>33.47</v>
      </c>
      <c r="G40" s="4" t="str">
        <f t="shared" si="7"/>
        <v>Goal Met</v>
      </c>
    </row>
    <row r="41" spans="1:7" x14ac:dyDescent="0.3">
      <c r="A41" s="4" t="s">
        <v>15</v>
      </c>
      <c r="B41" s="4" t="s">
        <v>44</v>
      </c>
      <c r="C41" s="5">
        <v>6.03</v>
      </c>
      <c r="D41" s="6">
        <v>156.22999999999999</v>
      </c>
      <c r="E41" s="6">
        <v>150</v>
      </c>
      <c r="F41" s="6">
        <f t="shared" si="6"/>
        <v>6.2299999999999898</v>
      </c>
      <c r="G41" s="4" t="str">
        <f t="shared" si="7"/>
        <v>Goal Met</v>
      </c>
    </row>
    <row r="42" spans="1:7" x14ac:dyDescent="0.3">
      <c r="A42" s="4" t="s">
        <v>17</v>
      </c>
      <c r="B42" s="4" t="s">
        <v>45</v>
      </c>
      <c r="C42" s="5">
        <v>6.34</v>
      </c>
      <c r="D42" s="6">
        <v>162.85</v>
      </c>
      <c r="E42" s="6">
        <v>150</v>
      </c>
      <c r="F42" s="6">
        <f t="shared" si="6"/>
        <v>12.849999999999994</v>
      </c>
      <c r="G42" s="4" t="str">
        <f t="shared" si="7"/>
        <v>Goal Met</v>
      </c>
    </row>
    <row r="43" spans="1:7" x14ac:dyDescent="0.3">
      <c r="A43" s="4" t="s">
        <v>19</v>
      </c>
      <c r="B43" s="4" t="s">
        <v>46</v>
      </c>
      <c r="C43" s="5">
        <v>14.24</v>
      </c>
      <c r="D43" s="6">
        <v>429.4</v>
      </c>
      <c r="E43" s="6">
        <v>150</v>
      </c>
      <c r="F43" s="6">
        <f t="shared" si="6"/>
        <v>279.39999999999998</v>
      </c>
      <c r="G43" s="4" t="str">
        <f t="shared" si="7"/>
        <v>Goal Met</v>
      </c>
    </row>
    <row r="44" spans="1:7" x14ac:dyDescent="0.3">
      <c r="A44" s="4" t="s">
        <v>21</v>
      </c>
      <c r="B44" s="4" t="s">
        <v>47</v>
      </c>
      <c r="C44" s="5">
        <v>6.47</v>
      </c>
      <c r="D44" s="6">
        <v>211.95</v>
      </c>
      <c r="E44" s="6">
        <v>150</v>
      </c>
      <c r="F44" s="6">
        <f t="shared" si="6"/>
        <v>61.949999999999989</v>
      </c>
      <c r="G44" s="4" t="str">
        <f t="shared" si="7"/>
        <v>Goal Met</v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51.54</v>
      </c>
      <c r="D45" s="9">
        <f>SUM(D38:D44)</f>
        <v>1397.74</v>
      </c>
      <c r="E45" s="9">
        <f>SUM(E38:E44)</f>
        <v>1050</v>
      </c>
      <c r="F45" s="9">
        <f>D45-E45</f>
        <v>347.74</v>
      </c>
      <c r="G45" s="7" t="str">
        <f>IF(D45="","",IF(F45&gt;=0,"Goal Met","Below Goal"))</f>
        <v>Goal Met</v>
      </c>
    </row>
    <row r="47" spans="1:7" x14ac:dyDescent="0.3">
      <c r="A47" s="2" t="s">
        <v>48</v>
      </c>
    </row>
    <row r="48" spans="1:7" x14ac:dyDescent="0.3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</row>
    <row r="49" spans="1:7" x14ac:dyDescent="0.3">
      <c r="A49" s="4" t="s">
        <v>9</v>
      </c>
      <c r="B49" s="4" t="s">
        <v>49</v>
      </c>
      <c r="C49" s="5">
        <v>4.51</v>
      </c>
      <c r="D49" s="6">
        <v>166.34</v>
      </c>
      <c r="E49" s="6">
        <v>150</v>
      </c>
      <c r="F49" s="6">
        <f t="shared" ref="F49:F55" si="8">IF(D49="","",D49-E49)</f>
        <v>16.340000000000003</v>
      </c>
      <c r="G49" s="4" t="str">
        <f t="shared" ref="G49:G55" si="9">IF(F49="","",IF(F49&gt;=0,"Goal Met","Below Goal"))</f>
        <v>Goal Met</v>
      </c>
    </row>
    <row r="50" spans="1:7" x14ac:dyDescent="0.3">
      <c r="A50" s="4" t="s">
        <v>11</v>
      </c>
      <c r="B50" s="4" t="s">
        <v>50</v>
      </c>
      <c r="C50" s="5">
        <v>8.01</v>
      </c>
      <c r="D50" s="6">
        <v>457.49</v>
      </c>
      <c r="E50" s="6">
        <v>150</v>
      </c>
      <c r="F50" s="6">
        <f t="shared" si="8"/>
        <v>307.49</v>
      </c>
      <c r="G50" s="4" t="str">
        <f t="shared" si="9"/>
        <v>Goal Met</v>
      </c>
    </row>
    <row r="51" spans="1:7" x14ac:dyDescent="0.3">
      <c r="A51" s="4" t="s">
        <v>13</v>
      </c>
      <c r="B51" s="4" t="s">
        <v>51</v>
      </c>
      <c r="C51" s="5">
        <v>0</v>
      </c>
      <c r="D51" s="6">
        <v>0</v>
      </c>
      <c r="E51" s="6">
        <v>150</v>
      </c>
      <c r="F51" s="6">
        <f t="shared" si="8"/>
        <v>-150</v>
      </c>
      <c r="G51" s="4" t="str">
        <f t="shared" si="9"/>
        <v>Below Goal</v>
      </c>
    </row>
    <row r="52" spans="1:7" x14ac:dyDescent="0.3">
      <c r="A52" s="4" t="s">
        <v>15</v>
      </c>
      <c r="B52" s="4" t="s">
        <v>52</v>
      </c>
      <c r="C52" s="5">
        <v>3.24</v>
      </c>
      <c r="D52" s="6">
        <v>95.15</v>
      </c>
      <c r="E52" s="6">
        <v>150</v>
      </c>
      <c r="F52" s="6">
        <f t="shared" si="8"/>
        <v>-54.849999999999994</v>
      </c>
      <c r="G52" s="4" t="str">
        <f t="shared" si="9"/>
        <v>Below Goal</v>
      </c>
    </row>
    <row r="53" spans="1:7" x14ac:dyDescent="0.3">
      <c r="A53" s="4" t="s">
        <v>17</v>
      </c>
      <c r="B53" s="4" t="s">
        <v>53</v>
      </c>
      <c r="C53" s="5">
        <v>4.17</v>
      </c>
      <c r="D53" s="6">
        <v>124.29</v>
      </c>
      <c r="E53" s="6">
        <v>150</v>
      </c>
      <c r="F53" s="6">
        <f t="shared" si="8"/>
        <v>-25.709999999999994</v>
      </c>
      <c r="G53" s="4" t="str">
        <f t="shared" si="9"/>
        <v>Below Goal</v>
      </c>
    </row>
    <row r="54" spans="1:7" x14ac:dyDescent="0.3">
      <c r="A54" s="4" t="s">
        <v>19</v>
      </c>
      <c r="B54" s="4" t="s">
        <v>54</v>
      </c>
      <c r="C54" s="5">
        <v>3.25</v>
      </c>
      <c r="D54" s="6">
        <v>83.03</v>
      </c>
      <c r="E54" s="6">
        <v>150</v>
      </c>
      <c r="F54" s="6">
        <f t="shared" si="8"/>
        <v>-66.97</v>
      </c>
      <c r="G54" s="4" t="str">
        <f t="shared" si="9"/>
        <v>Below Goal</v>
      </c>
    </row>
    <row r="55" spans="1:7" x14ac:dyDescent="0.3">
      <c r="A55" s="4" t="s">
        <v>21</v>
      </c>
      <c r="B55" s="4" t="s">
        <v>55</v>
      </c>
      <c r="C55" s="5">
        <v>3.42</v>
      </c>
      <c r="D55" s="6">
        <v>106.85</v>
      </c>
      <c r="E55" s="6">
        <v>150</v>
      </c>
      <c r="F55" s="6">
        <f t="shared" si="8"/>
        <v>-43.150000000000006</v>
      </c>
      <c r="G55" s="4" t="str">
        <f t="shared" si="9"/>
        <v>Below Goal</v>
      </c>
    </row>
    <row r="56" spans="1:7" x14ac:dyDescent="0.3">
      <c r="A56" s="7" t="s">
        <v>23</v>
      </c>
      <c r="B56" s="7"/>
      <c r="C56" s="8">
        <f>DOLLARFR(IFERROR(DOLLARDE(C49,60),0)+IFERROR(DOLLARDE(C50,60),0)+IFERROR(DOLLARDE(C51,60),0)+IFERROR(DOLLARDE(C52,60),0)+IFERROR(DOLLARDE(C53,60),0)+IFERROR(DOLLARDE(C54,60),0)+IFERROR(DOLLARDE(C55,60),0), 60)</f>
        <v>27.4</v>
      </c>
      <c r="D56" s="9">
        <f>SUM(D49:D55)</f>
        <v>1033.1499999999999</v>
      </c>
      <c r="E56" s="9">
        <f>SUM(E49:E55)</f>
        <v>1050</v>
      </c>
      <c r="F56" s="9">
        <f>D56-E56</f>
        <v>-16.850000000000136</v>
      </c>
      <c r="G56" s="7" t="str">
        <f>IF(D56="","",IF(F56&gt;=0,"Goal Met","Below Goal"))</f>
        <v>Below Goal</v>
      </c>
    </row>
    <row r="58" spans="1:7" x14ac:dyDescent="0.3">
      <c r="A58" t="s">
        <v>56</v>
      </c>
    </row>
    <row r="60" spans="1:7" x14ac:dyDescent="0.3">
      <c r="A60" s="7" t="s">
        <v>57</v>
      </c>
      <c r="B60" s="7"/>
      <c r="C60" s="8">
        <f>DOLLARFR(IFERROR(DOLLARDE(C12,60),0)+IFERROR(DOLLARDE(C23,60),0)+IFERROR(DOLLARDE(C34,60),0)+IFERROR(DOLLARDE(C45,60),0)+IFERROR(DOLLARDE(C56,60),0), 60)</f>
        <v>171.52</v>
      </c>
      <c r="D60" s="9">
        <f>D12+D23+D34+D45+D56</f>
        <v>4778.1400000000003</v>
      </c>
      <c r="E60" s="9">
        <f>E12+E23+E34+E45+E56</f>
        <v>5250</v>
      </c>
      <c r="F60" s="9">
        <f>D60-E60</f>
        <v>-471.85999999999967</v>
      </c>
      <c r="G60" s="7" t="str">
        <f>IF(D60="","",IF(F60&gt;=0,"Goal Met","Below Goal"))</f>
        <v>Below Goal</v>
      </c>
    </row>
  </sheetData>
  <conditionalFormatting sqref="F1:F58">
    <cfRule type="expression" dxfId="99" priority="1" stopIfTrue="1">
      <formula>AND(ISNUMBER(F1), F1&gt;=0)</formula>
    </cfRule>
    <cfRule type="expression" dxfId="98" priority="2" stopIfTrue="1">
      <formula>AND(ISNUMBER(F1), F1&lt;0)</formula>
    </cfRule>
  </conditionalFormatting>
  <conditionalFormatting sqref="F1:F60">
    <cfRule type="expression" dxfId="97" priority="5" stopIfTrue="1">
      <formula>AND(ISNUMBER(F1), F1&gt;=0)</formula>
    </cfRule>
    <cfRule type="expression" dxfId="96" priority="6" stopIfTrue="1">
      <formula>AND(ISNUMBER(F1), F1&lt;0)</formula>
    </cfRule>
  </conditionalFormatting>
  <conditionalFormatting sqref="G1:G58">
    <cfRule type="cellIs" dxfId="95" priority="3" stopIfTrue="1" operator="equal">
      <formula>"Goal Met"</formula>
    </cfRule>
    <cfRule type="cellIs" dxfId="94" priority="4" stopIfTrue="1" operator="equal">
      <formula>"Below Goal"</formula>
    </cfRule>
  </conditionalFormatting>
  <conditionalFormatting sqref="G1:G60">
    <cfRule type="cellIs" dxfId="93" priority="7" stopIfTrue="1" operator="equal">
      <formula>"Goal Met"</formula>
    </cfRule>
    <cfRule type="cellIs" dxfId="92" priority="8" stopIfTrue="1" operator="equal">
      <formula>"Below Goal"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zoomScale="140" zoomScaleNormal="140" workbookViewId="0">
      <selection activeCell="F49" sqref="F49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58</v>
      </c>
    </row>
    <row r="3" spans="1:7" x14ac:dyDescent="0.3">
      <c r="A3" s="2" t="s">
        <v>59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60</v>
      </c>
      <c r="C5" s="5"/>
      <c r="D5" s="6">
        <v>127.22</v>
      </c>
      <c r="E5" s="6">
        <v>150</v>
      </c>
      <c r="F5" s="6">
        <f t="shared" ref="F5:F11" si="0">IF(D5="","",D5-E5)</f>
        <v>-22.78</v>
      </c>
      <c r="G5" s="4" t="str">
        <f t="shared" ref="G5:G11" si="1">IF(F5="","",IF(F5&gt;=0,"Goal Met","Below Goal"))</f>
        <v>Below Goal</v>
      </c>
    </row>
    <row r="6" spans="1:7" x14ac:dyDescent="0.3">
      <c r="A6" s="4" t="s">
        <v>11</v>
      </c>
      <c r="B6" s="4" t="s">
        <v>61</v>
      </c>
      <c r="C6" s="5"/>
      <c r="D6" s="6">
        <v>56.55</v>
      </c>
      <c r="E6" s="6">
        <v>150</v>
      </c>
      <c r="F6" s="6">
        <f t="shared" si="0"/>
        <v>-93.45</v>
      </c>
      <c r="G6" s="4" t="str">
        <f t="shared" si="1"/>
        <v>Below Goal</v>
      </c>
    </row>
    <row r="7" spans="1:7" x14ac:dyDescent="0.3">
      <c r="A7" s="4" t="s">
        <v>13</v>
      </c>
      <c r="B7" s="4" t="s">
        <v>62</v>
      </c>
      <c r="C7" s="5"/>
      <c r="D7" s="6">
        <v>0</v>
      </c>
      <c r="E7" s="6">
        <v>150</v>
      </c>
      <c r="F7" s="6">
        <f t="shared" si="0"/>
        <v>-150</v>
      </c>
      <c r="G7" s="4" t="str">
        <f t="shared" si="1"/>
        <v>Below Goal</v>
      </c>
    </row>
    <row r="8" spans="1:7" x14ac:dyDescent="0.3">
      <c r="A8" s="4" t="s">
        <v>15</v>
      </c>
      <c r="B8" s="4" t="s">
        <v>63</v>
      </c>
      <c r="C8" s="5"/>
      <c r="D8" s="6">
        <v>15.2</v>
      </c>
      <c r="E8" s="6">
        <v>150</v>
      </c>
      <c r="F8" s="6">
        <f t="shared" si="0"/>
        <v>-134.80000000000001</v>
      </c>
      <c r="G8" s="4" t="str">
        <f t="shared" si="1"/>
        <v>Below Goal</v>
      </c>
    </row>
    <row r="9" spans="1:7" x14ac:dyDescent="0.3">
      <c r="A9" s="4" t="s">
        <v>17</v>
      </c>
      <c r="B9" s="4" t="s">
        <v>64</v>
      </c>
      <c r="C9" s="5"/>
      <c r="D9" s="6">
        <v>118.49</v>
      </c>
      <c r="E9" s="6">
        <v>150</v>
      </c>
      <c r="F9" s="6">
        <f t="shared" si="0"/>
        <v>-31.510000000000005</v>
      </c>
      <c r="G9" s="4" t="str">
        <f t="shared" si="1"/>
        <v>Below Goal</v>
      </c>
    </row>
    <row r="10" spans="1:7" x14ac:dyDescent="0.3">
      <c r="A10" s="4" t="s">
        <v>19</v>
      </c>
      <c r="B10" s="4" t="s">
        <v>65</v>
      </c>
      <c r="C10" s="5"/>
      <c r="D10" s="6">
        <v>106.36</v>
      </c>
      <c r="E10" s="6">
        <v>150</v>
      </c>
      <c r="F10" s="6">
        <f t="shared" si="0"/>
        <v>-43.64</v>
      </c>
      <c r="G10" s="4" t="str">
        <f t="shared" si="1"/>
        <v>Below Goal</v>
      </c>
    </row>
    <row r="11" spans="1:7" x14ac:dyDescent="0.3">
      <c r="A11" s="4" t="s">
        <v>21</v>
      </c>
      <c r="B11" s="4" t="s">
        <v>66</v>
      </c>
      <c r="C11" s="5"/>
      <c r="D11" s="6">
        <v>105.49</v>
      </c>
      <c r="E11" s="6">
        <v>150</v>
      </c>
      <c r="F11" s="6">
        <f t="shared" si="0"/>
        <v>-44.510000000000005</v>
      </c>
      <c r="G11" s="4" t="str">
        <f t="shared" si="1"/>
        <v>Below Goal</v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529.30999999999995</v>
      </c>
      <c r="E12" s="9">
        <f>SUM(E5:E11)</f>
        <v>1050</v>
      </c>
      <c r="F12" s="9">
        <f>D12-E12</f>
        <v>-520.69000000000005</v>
      </c>
      <c r="G12" s="7" t="str">
        <f>IF(D12="","",IF(F12&gt;=0,"Goal Met","Below Goal"))</f>
        <v>Below Goal</v>
      </c>
    </row>
    <row r="14" spans="1:7" x14ac:dyDescent="0.3">
      <c r="A14" s="2" t="s">
        <v>67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68</v>
      </c>
      <c r="C16" s="5">
        <v>5.49</v>
      </c>
      <c r="D16" s="6">
        <v>156.52000000000001</v>
      </c>
      <c r="E16" s="6">
        <v>150</v>
      </c>
      <c r="F16" s="6">
        <f t="shared" ref="F16:F22" si="2">IF(D16="","",D16-E16)</f>
        <v>6.5200000000000102</v>
      </c>
      <c r="G16" s="4" t="str">
        <f t="shared" ref="G16:G22" si="3">IF(F16="","",IF(F16&gt;=0,"Goal Met","Below Goal"))</f>
        <v>Goal Met</v>
      </c>
    </row>
    <row r="17" spans="1:7" x14ac:dyDescent="0.3">
      <c r="A17" s="4" t="s">
        <v>11</v>
      </c>
      <c r="B17" s="4" t="s">
        <v>69</v>
      </c>
      <c r="C17" s="5">
        <v>4.54</v>
      </c>
      <c r="D17" s="6">
        <v>94.78</v>
      </c>
      <c r="E17" s="6">
        <v>150</v>
      </c>
      <c r="F17" s="6">
        <f t="shared" si="2"/>
        <v>-55.22</v>
      </c>
      <c r="G17" s="4" t="str">
        <f t="shared" si="3"/>
        <v>Below Goal</v>
      </c>
    </row>
    <row r="18" spans="1:7" x14ac:dyDescent="0.3">
      <c r="A18" s="4" t="s">
        <v>13</v>
      </c>
      <c r="B18" s="4" t="s">
        <v>70</v>
      </c>
      <c r="C18" s="5">
        <v>4.9000000000000004</v>
      </c>
      <c r="D18" s="6">
        <v>119.55</v>
      </c>
      <c r="E18" s="6">
        <v>150</v>
      </c>
      <c r="F18" s="6">
        <f t="shared" si="2"/>
        <v>-30.450000000000003</v>
      </c>
      <c r="G18" s="4" t="str">
        <f t="shared" si="3"/>
        <v>Below Goal</v>
      </c>
    </row>
    <row r="19" spans="1:7" x14ac:dyDescent="0.3">
      <c r="A19" s="4" t="s">
        <v>15</v>
      </c>
      <c r="B19" s="4" t="s">
        <v>71</v>
      </c>
      <c r="C19" s="5">
        <v>3.26</v>
      </c>
      <c r="D19" s="6">
        <v>99.21</v>
      </c>
      <c r="E19" s="6">
        <v>150</v>
      </c>
      <c r="F19" s="6">
        <f t="shared" si="2"/>
        <v>-50.790000000000006</v>
      </c>
      <c r="G19" s="4" t="str">
        <f t="shared" si="3"/>
        <v>Below Goal</v>
      </c>
    </row>
    <row r="20" spans="1:7" x14ac:dyDescent="0.3">
      <c r="A20" s="4" t="s">
        <v>17</v>
      </c>
      <c r="B20" s="4" t="s">
        <v>72</v>
      </c>
      <c r="C20" s="5">
        <v>1.4</v>
      </c>
      <c r="D20" s="6">
        <v>18.52</v>
      </c>
      <c r="E20" s="6">
        <v>150</v>
      </c>
      <c r="F20" s="6">
        <f t="shared" si="2"/>
        <v>-131.47999999999999</v>
      </c>
      <c r="G20" s="4" t="str">
        <f t="shared" si="3"/>
        <v>Below Goal</v>
      </c>
    </row>
    <row r="21" spans="1:7" x14ac:dyDescent="0.3">
      <c r="A21" s="4" t="s">
        <v>19</v>
      </c>
      <c r="B21" s="4" t="s">
        <v>73</v>
      </c>
      <c r="C21" s="5">
        <v>0</v>
      </c>
      <c r="D21" s="6">
        <v>0</v>
      </c>
      <c r="E21" s="6">
        <v>150</v>
      </c>
      <c r="F21" s="6">
        <f t="shared" si="2"/>
        <v>-150</v>
      </c>
      <c r="G21" s="4" t="str">
        <f t="shared" si="3"/>
        <v>Below Goal</v>
      </c>
    </row>
    <row r="22" spans="1:7" x14ac:dyDescent="0.3">
      <c r="A22" s="4" t="s">
        <v>21</v>
      </c>
      <c r="B22" s="4" t="s">
        <v>74</v>
      </c>
      <c r="C22" s="5">
        <v>3.43</v>
      </c>
      <c r="D22" s="6">
        <v>117.43</v>
      </c>
      <c r="E22" s="6">
        <v>150</v>
      </c>
      <c r="F22" s="6">
        <f t="shared" si="2"/>
        <v>-32.569999999999993</v>
      </c>
      <c r="G22" s="4" t="str">
        <f t="shared" si="3"/>
        <v>Below Goal</v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25.020000000000003</v>
      </c>
      <c r="D23" s="9">
        <f>SUM(D16:D22)</f>
        <v>606.01</v>
      </c>
      <c r="E23" s="9">
        <f>SUM(E16:E22)</f>
        <v>1050</v>
      </c>
      <c r="F23" s="9">
        <f>D23-E23</f>
        <v>-443.99</v>
      </c>
      <c r="G23" s="7" t="str">
        <f>IF(D23="","",IF(F23&gt;=0,"Goal Met","Below Goal"))</f>
        <v>Below Goal</v>
      </c>
    </row>
    <row r="25" spans="1:7" x14ac:dyDescent="0.3">
      <c r="A25" s="2" t="s">
        <v>75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76</v>
      </c>
      <c r="C27" s="5">
        <v>2.59</v>
      </c>
      <c r="D27" s="6">
        <v>66.38</v>
      </c>
      <c r="E27" s="6">
        <v>150</v>
      </c>
      <c r="F27" s="6">
        <f t="shared" ref="F27:F33" si="4">IF(D27="","",D27-E27)</f>
        <v>-83.62</v>
      </c>
      <c r="G27" s="4" t="str">
        <f t="shared" ref="G27:G33" si="5">IF(F27="","",IF(F27&gt;=0,"Goal Met","Below Goal"))</f>
        <v>Below Goal</v>
      </c>
    </row>
    <row r="28" spans="1:7" x14ac:dyDescent="0.3">
      <c r="A28" s="4" t="s">
        <v>11</v>
      </c>
      <c r="B28" s="4" t="s">
        <v>77</v>
      </c>
      <c r="C28" s="5">
        <v>2.1800000000000002</v>
      </c>
      <c r="D28" s="6">
        <v>66.66</v>
      </c>
      <c r="E28" s="6">
        <v>150</v>
      </c>
      <c r="F28" s="6">
        <f t="shared" si="4"/>
        <v>-83.34</v>
      </c>
      <c r="G28" s="4" t="str">
        <f t="shared" si="5"/>
        <v>Below Goal</v>
      </c>
    </row>
    <row r="29" spans="1:7" x14ac:dyDescent="0.3">
      <c r="A29" s="4" t="s">
        <v>13</v>
      </c>
      <c r="B29" s="4" t="s">
        <v>78</v>
      </c>
      <c r="C29" s="5">
        <v>0</v>
      </c>
      <c r="D29" s="6">
        <v>0</v>
      </c>
      <c r="E29" s="6">
        <v>150</v>
      </c>
      <c r="F29" s="6">
        <f t="shared" si="4"/>
        <v>-150</v>
      </c>
      <c r="G29" s="4" t="str">
        <f t="shared" si="5"/>
        <v>Below Goal</v>
      </c>
    </row>
    <row r="30" spans="1:7" x14ac:dyDescent="0.3">
      <c r="A30" s="4" t="s">
        <v>15</v>
      </c>
      <c r="B30" s="4" t="s">
        <v>79</v>
      </c>
      <c r="C30" s="5">
        <v>0</v>
      </c>
      <c r="D30" s="6">
        <v>0</v>
      </c>
      <c r="E30" s="6">
        <v>150</v>
      </c>
      <c r="F30" s="6">
        <f t="shared" si="4"/>
        <v>-150</v>
      </c>
      <c r="G30" s="4" t="str">
        <f t="shared" si="5"/>
        <v>Below Goal</v>
      </c>
    </row>
    <row r="31" spans="1:7" x14ac:dyDescent="0.3">
      <c r="A31" s="4" t="s">
        <v>17</v>
      </c>
      <c r="B31" s="4" t="s">
        <v>80</v>
      </c>
      <c r="C31" s="5">
        <v>4.5199999999999996</v>
      </c>
      <c r="D31" s="6">
        <v>132.11000000000001</v>
      </c>
      <c r="E31" s="6">
        <v>150</v>
      </c>
      <c r="F31" s="6">
        <f t="shared" si="4"/>
        <v>-17.889999999999986</v>
      </c>
      <c r="G31" s="4" t="str">
        <f t="shared" si="5"/>
        <v>Below Goal</v>
      </c>
    </row>
    <row r="32" spans="1:7" x14ac:dyDescent="0.3">
      <c r="A32" s="4" t="s">
        <v>19</v>
      </c>
      <c r="B32" s="4" t="s">
        <v>81</v>
      </c>
      <c r="C32" s="5">
        <v>7.14</v>
      </c>
      <c r="D32" s="6">
        <v>214.24</v>
      </c>
      <c r="E32" s="6">
        <v>150</v>
      </c>
      <c r="F32" s="6">
        <f t="shared" si="4"/>
        <v>64.240000000000009</v>
      </c>
      <c r="G32" s="4" t="str">
        <f t="shared" si="5"/>
        <v>Goal Met</v>
      </c>
    </row>
    <row r="33" spans="1:7" x14ac:dyDescent="0.3">
      <c r="A33" s="4" t="s">
        <v>21</v>
      </c>
      <c r="B33" s="4" t="s">
        <v>82</v>
      </c>
      <c r="C33" s="5">
        <v>0</v>
      </c>
      <c r="D33" s="6">
        <v>0</v>
      </c>
      <c r="E33" s="6">
        <v>150</v>
      </c>
      <c r="F33" s="6">
        <f t="shared" si="4"/>
        <v>-150</v>
      </c>
      <c r="G33" s="4" t="str">
        <f t="shared" si="5"/>
        <v>Below Goal</v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17.23</v>
      </c>
      <c r="D34" s="9">
        <f>SUM(D27:D33)</f>
        <v>479.39</v>
      </c>
      <c r="E34" s="9">
        <f>SUM(E27:E33)</f>
        <v>1050</v>
      </c>
      <c r="F34" s="9">
        <f>D34-E34</f>
        <v>-570.61</v>
      </c>
      <c r="G34" s="7" t="str">
        <f>IF(D34="","",IF(F34&gt;=0,"Goal Met","Below Goal"))</f>
        <v>Below Goal</v>
      </c>
    </row>
    <row r="36" spans="1:7" x14ac:dyDescent="0.3">
      <c r="A36" s="2" t="s">
        <v>83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84</v>
      </c>
      <c r="C38" s="5">
        <v>1.1000000000000001</v>
      </c>
      <c r="D38" s="6">
        <v>43.22</v>
      </c>
      <c r="E38" s="6">
        <v>150</v>
      </c>
      <c r="F38" s="6">
        <f t="shared" ref="F38:F44" si="6">IF(D38="","",D38-E38)</f>
        <v>-106.78</v>
      </c>
      <c r="G38" s="4" t="str">
        <f t="shared" ref="G38:G44" si="7">IF(F38="","",IF(F38&gt;=0,"Goal Met","Below Goal"))</f>
        <v>Below Goal</v>
      </c>
    </row>
    <row r="39" spans="1:7" x14ac:dyDescent="0.3">
      <c r="A39" s="4" t="s">
        <v>11</v>
      </c>
      <c r="B39" s="4" t="s">
        <v>85</v>
      </c>
      <c r="C39" s="5">
        <v>2.46</v>
      </c>
      <c r="D39" s="6">
        <v>74.27</v>
      </c>
      <c r="E39" s="6">
        <v>150</v>
      </c>
      <c r="F39" s="6">
        <f t="shared" si="6"/>
        <v>-75.73</v>
      </c>
      <c r="G39" s="4" t="str">
        <f t="shared" si="7"/>
        <v>Below Goal</v>
      </c>
    </row>
    <row r="40" spans="1:7" x14ac:dyDescent="0.3">
      <c r="A40" s="4" t="s">
        <v>13</v>
      </c>
      <c r="B40" s="4" t="s">
        <v>86</v>
      </c>
      <c r="C40" s="5">
        <v>1.5</v>
      </c>
      <c r="D40" s="6">
        <v>49.11</v>
      </c>
      <c r="E40" s="6">
        <v>150</v>
      </c>
      <c r="F40" s="6">
        <f t="shared" si="6"/>
        <v>-100.89</v>
      </c>
      <c r="G40" s="4" t="str">
        <f t="shared" si="7"/>
        <v>Below Goal</v>
      </c>
    </row>
    <row r="41" spans="1:7" x14ac:dyDescent="0.3">
      <c r="A41" s="4" t="s">
        <v>15</v>
      </c>
      <c r="B41" s="4" t="s">
        <v>87</v>
      </c>
      <c r="C41" s="5">
        <v>1.1599999999999999</v>
      </c>
      <c r="D41" s="6">
        <v>57.37</v>
      </c>
      <c r="E41" s="6">
        <v>150</v>
      </c>
      <c r="F41" s="6">
        <f t="shared" si="6"/>
        <v>-92.63</v>
      </c>
      <c r="G41" s="4" t="str">
        <f t="shared" si="7"/>
        <v>Below Goal</v>
      </c>
    </row>
    <row r="42" spans="1:7" x14ac:dyDescent="0.3">
      <c r="A42" s="4" t="s">
        <v>17</v>
      </c>
      <c r="B42" s="4" t="s">
        <v>88</v>
      </c>
      <c r="C42" s="5">
        <v>7.4</v>
      </c>
      <c r="D42" s="6">
        <v>186.54</v>
      </c>
      <c r="E42" s="6">
        <v>150</v>
      </c>
      <c r="F42" s="6">
        <f t="shared" si="6"/>
        <v>36.539999999999992</v>
      </c>
      <c r="G42" s="4" t="str">
        <f t="shared" si="7"/>
        <v>Goal Met</v>
      </c>
    </row>
    <row r="43" spans="1:7" x14ac:dyDescent="0.3">
      <c r="A43" s="4" t="s">
        <v>19</v>
      </c>
      <c r="B43" s="4" t="s">
        <v>89</v>
      </c>
      <c r="C43" s="5">
        <v>7.36</v>
      </c>
      <c r="D43" s="6">
        <v>250.38</v>
      </c>
      <c r="E43" s="6">
        <v>150</v>
      </c>
      <c r="F43" s="6">
        <f t="shared" si="6"/>
        <v>100.38</v>
      </c>
      <c r="G43" s="4" t="str">
        <f t="shared" si="7"/>
        <v>Goal Met</v>
      </c>
    </row>
    <row r="44" spans="1:7" x14ac:dyDescent="0.3">
      <c r="A44" s="4" t="s">
        <v>21</v>
      </c>
      <c r="B44" s="4" t="s">
        <v>90</v>
      </c>
      <c r="C44" s="5">
        <v>6.1</v>
      </c>
      <c r="D44" s="6">
        <v>179.27</v>
      </c>
      <c r="E44" s="6">
        <v>150</v>
      </c>
      <c r="F44" s="6">
        <f t="shared" si="6"/>
        <v>29.27000000000001</v>
      </c>
      <c r="G44" s="4" t="str">
        <f t="shared" si="7"/>
        <v>Goal Met</v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28.28</v>
      </c>
      <c r="D45" s="9">
        <f>SUM(D38:D44)</f>
        <v>840.16</v>
      </c>
      <c r="E45" s="9">
        <f>SUM(E38:E44)</f>
        <v>1050</v>
      </c>
      <c r="F45" s="9">
        <f>D45-E45</f>
        <v>-209.84000000000003</v>
      </c>
      <c r="G45" s="7" t="str">
        <f>IF(D45="","",IF(F45&gt;=0,"Goal Met","Below Goal"))</f>
        <v>Below Goal</v>
      </c>
    </row>
    <row r="47" spans="1:7" x14ac:dyDescent="0.3">
      <c r="A47" t="s">
        <v>91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70.53</v>
      </c>
      <c r="D49" s="9">
        <f>D12+D23+D34+D45</f>
        <v>2454.87</v>
      </c>
      <c r="E49" s="9">
        <f>E12+E23+E34+E45</f>
        <v>4200</v>
      </c>
      <c r="F49" s="9">
        <f>D49-E49</f>
        <v>-1745.13</v>
      </c>
      <c r="G49" s="7" t="str">
        <f>IF(D49="","",IF(F49&gt;=0,"Goal Met","Below Goal"))</f>
        <v>Below Goal</v>
      </c>
    </row>
  </sheetData>
  <conditionalFormatting sqref="F1:F47">
    <cfRule type="expression" dxfId="91" priority="1" stopIfTrue="1">
      <formula>AND(ISNUMBER(F1), F1&gt;=0)</formula>
    </cfRule>
    <cfRule type="expression" dxfId="90" priority="2" stopIfTrue="1">
      <formula>AND(ISNUMBER(F1), F1&lt;0)</formula>
    </cfRule>
  </conditionalFormatting>
  <conditionalFormatting sqref="F1:F49">
    <cfRule type="expression" dxfId="89" priority="5" stopIfTrue="1">
      <formula>AND(ISNUMBER(F1), F1&gt;=0)</formula>
    </cfRule>
    <cfRule type="expression" dxfId="88" priority="6" stopIfTrue="1">
      <formula>AND(ISNUMBER(F1), F1&lt;0)</formula>
    </cfRule>
  </conditionalFormatting>
  <conditionalFormatting sqref="G1:G47">
    <cfRule type="cellIs" dxfId="87" priority="3" stopIfTrue="1" operator="equal">
      <formula>"Goal Met"</formula>
    </cfRule>
    <cfRule type="cellIs" dxfId="86" priority="4" stopIfTrue="1" operator="equal">
      <formula>"Below Goal"</formula>
    </cfRule>
  </conditionalFormatting>
  <conditionalFormatting sqref="G1:G49">
    <cfRule type="cellIs" dxfId="85" priority="7" stopIfTrue="1" operator="equal">
      <formula>"Goal Met"</formula>
    </cfRule>
    <cfRule type="cellIs" dxfId="84" priority="8" stopIfTrue="1" operator="equal">
      <formula>"Below Goal"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abSelected="1" zoomScale="140" zoomScaleNormal="140" workbookViewId="0">
      <selection activeCell="I11" sqref="I11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92</v>
      </c>
    </row>
    <row r="3" spans="1:7" x14ac:dyDescent="0.3">
      <c r="A3" s="2" t="s">
        <v>93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94</v>
      </c>
      <c r="C5" s="5">
        <v>8.5299999999999994</v>
      </c>
      <c r="D5" s="6">
        <v>224.7</v>
      </c>
      <c r="E5" s="6">
        <v>150</v>
      </c>
      <c r="F5" s="6">
        <f t="shared" ref="F5:F11" si="0">IF(D5="","",D5-E5)</f>
        <v>74.699999999999989</v>
      </c>
      <c r="G5" s="4" t="str">
        <f t="shared" ref="G5:G11" si="1">IF(F5="","",IF(F5&gt;=0,"Goal Met","Below Goal"))</f>
        <v>Goal Met</v>
      </c>
    </row>
    <row r="6" spans="1:7" x14ac:dyDescent="0.3">
      <c r="A6" s="4" t="s">
        <v>11</v>
      </c>
      <c r="B6" s="4" t="s">
        <v>95</v>
      </c>
      <c r="C6" s="5"/>
      <c r="D6" s="6"/>
      <c r="E6" s="6">
        <v>150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96</v>
      </c>
      <c r="C7" s="5"/>
      <c r="D7" s="6"/>
      <c r="E7" s="6">
        <v>150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97</v>
      </c>
      <c r="C8" s="5"/>
      <c r="D8" s="6"/>
      <c r="E8" s="6">
        <v>150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98</v>
      </c>
      <c r="C9" s="5"/>
      <c r="D9" s="6"/>
      <c r="E9" s="6">
        <v>150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99</v>
      </c>
      <c r="C10" s="5"/>
      <c r="D10" s="6"/>
      <c r="E10" s="6">
        <v>150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100</v>
      </c>
      <c r="C11" s="5"/>
      <c r="D11" s="6"/>
      <c r="E11" s="6">
        <v>150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8.5299999999999994</v>
      </c>
      <c r="D12" s="9">
        <f>SUM(D5:D11)</f>
        <v>224.7</v>
      </c>
      <c r="E12" s="9">
        <f>SUM(E5:E11)</f>
        <v>1050</v>
      </c>
      <c r="F12" s="9">
        <f>D12-E12</f>
        <v>-825.3</v>
      </c>
      <c r="G12" s="7" t="str">
        <f>IF(D12="","",IF(F12&gt;=0,"Goal Met","Below Goal"))</f>
        <v>Below Goal</v>
      </c>
    </row>
    <row r="14" spans="1:7" x14ac:dyDescent="0.3">
      <c r="A14" s="2" t="s">
        <v>101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102</v>
      </c>
      <c r="C16" s="5"/>
      <c r="D16" s="6"/>
      <c r="E16" s="6">
        <v>150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103</v>
      </c>
      <c r="C17" s="5"/>
      <c r="D17" s="6"/>
      <c r="E17" s="6">
        <v>150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104</v>
      </c>
      <c r="C18" s="5"/>
      <c r="D18" s="6"/>
      <c r="E18" s="6">
        <v>150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105</v>
      </c>
      <c r="C19" s="5"/>
      <c r="D19" s="6"/>
      <c r="E19" s="6">
        <v>150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106</v>
      </c>
      <c r="C20" s="5"/>
      <c r="D20" s="6"/>
      <c r="E20" s="6">
        <v>150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107</v>
      </c>
      <c r="C21" s="5"/>
      <c r="D21" s="6"/>
      <c r="E21" s="6">
        <v>150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108</v>
      </c>
      <c r="C22" s="5"/>
      <c r="D22" s="6"/>
      <c r="E22" s="6">
        <v>150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1050</v>
      </c>
      <c r="F23" s="9">
        <f>D23-E23</f>
        <v>-1050</v>
      </c>
      <c r="G23" s="7" t="str">
        <f>IF(D23="","",IF(F23&gt;=0,"Goal Met","Below Goal"))</f>
        <v>Below Goal</v>
      </c>
    </row>
    <row r="25" spans="1:7" x14ac:dyDescent="0.3">
      <c r="A25" s="2" t="s">
        <v>109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110</v>
      </c>
      <c r="C27" s="5"/>
      <c r="D27" s="6"/>
      <c r="E27" s="6">
        <v>150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111</v>
      </c>
      <c r="C28" s="5"/>
      <c r="D28" s="6"/>
      <c r="E28" s="6">
        <v>150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112</v>
      </c>
      <c r="C29" s="5"/>
      <c r="D29" s="6"/>
      <c r="E29" s="6">
        <v>150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113</v>
      </c>
      <c r="C30" s="5"/>
      <c r="D30" s="6"/>
      <c r="E30" s="6">
        <v>150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114</v>
      </c>
      <c r="C31" s="5"/>
      <c r="D31" s="6"/>
      <c r="E31" s="6">
        <v>150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115</v>
      </c>
      <c r="C32" s="5"/>
      <c r="D32" s="6"/>
      <c r="E32" s="6">
        <v>150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116</v>
      </c>
      <c r="C33" s="5"/>
      <c r="D33" s="6"/>
      <c r="E33" s="6">
        <v>150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1050</v>
      </c>
      <c r="F34" s="9">
        <f>D34-E34</f>
        <v>-1050</v>
      </c>
      <c r="G34" s="7" t="str">
        <f>IF(D34="","",IF(F34&gt;=0,"Goal Met","Below Goal"))</f>
        <v>Below Goal</v>
      </c>
    </row>
    <row r="36" spans="1:7" x14ac:dyDescent="0.3">
      <c r="A36" s="2" t="s">
        <v>117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118</v>
      </c>
      <c r="C38" s="5"/>
      <c r="D38" s="6"/>
      <c r="E38" s="6">
        <v>150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119</v>
      </c>
      <c r="C39" s="5"/>
      <c r="D39" s="6"/>
      <c r="E39" s="6">
        <v>150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120</v>
      </c>
      <c r="C40" s="5"/>
      <c r="D40" s="6"/>
      <c r="E40" s="6">
        <v>150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121</v>
      </c>
      <c r="C41" s="5"/>
      <c r="D41" s="6"/>
      <c r="E41" s="6">
        <v>150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122</v>
      </c>
      <c r="C42" s="5"/>
      <c r="D42" s="6"/>
      <c r="E42" s="6">
        <v>150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123</v>
      </c>
      <c r="C43" s="5"/>
      <c r="D43" s="6"/>
      <c r="E43" s="6">
        <v>150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124</v>
      </c>
      <c r="C44" s="5"/>
      <c r="D44" s="6"/>
      <c r="E44" s="6">
        <v>150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1050</v>
      </c>
      <c r="F45" s="9">
        <f>D45-E45</f>
        <v>-1050</v>
      </c>
      <c r="G45" s="7" t="str">
        <f>IF(D45="","",IF(F45&gt;=0,"Goal Met","Below Goal"))</f>
        <v>Below Goal</v>
      </c>
    </row>
    <row r="47" spans="1:7" x14ac:dyDescent="0.3">
      <c r="A47" t="s">
        <v>125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8.5299999999999994</v>
      </c>
      <c r="D49" s="9">
        <f>D12+D23+D34+D45</f>
        <v>224.7</v>
      </c>
      <c r="E49" s="9">
        <f>E12+E23+E34+E45</f>
        <v>4200</v>
      </c>
      <c r="F49" s="9">
        <f>D49-E49</f>
        <v>-3975.3</v>
      </c>
      <c r="G49" s="7" t="str">
        <f>IF(D49="","",IF(F49&gt;=0,"Goal Met","Below Goal"))</f>
        <v>Below Goal</v>
      </c>
    </row>
  </sheetData>
  <conditionalFormatting sqref="F1:F47">
    <cfRule type="expression" dxfId="83" priority="1" stopIfTrue="1">
      <formula>AND(ISNUMBER(F1), F1&gt;=0)</formula>
    </cfRule>
    <cfRule type="expression" dxfId="82" priority="2" stopIfTrue="1">
      <formula>AND(ISNUMBER(F1), F1&lt;0)</formula>
    </cfRule>
  </conditionalFormatting>
  <conditionalFormatting sqref="F1:F49">
    <cfRule type="expression" dxfId="81" priority="5" stopIfTrue="1">
      <formula>AND(ISNUMBER(F1), F1&gt;=0)</formula>
    </cfRule>
    <cfRule type="expression" dxfId="80" priority="6" stopIfTrue="1">
      <formula>AND(ISNUMBER(F1), F1&lt;0)</formula>
    </cfRule>
  </conditionalFormatting>
  <conditionalFormatting sqref="G1:G47">
    <cfRule type="cellIs" dxfId="79" priority="3" stopIfTrue="1" operator="equal">
      <formula>"Goal Met"</formula>
    </cfRule>
    <cfRule type="cellIs" dxfId="78" priority="4" stopIfTrue="1" operator="equal">
      <formula>"Below Goal"</formula>
    </cfRule>
  </conditionalFormatting>
  <conditionalFormatting sqref="G1:G49">
    <cfRule type="cellIs" dxfId="77" priority="7" stopIfTrue="1" operator="equal">
      <formula>"Goal Met"</formula>
    </cfRule>
    <cfRule type="cellIs" dxfId="76" priority="8" stopIfTrue="1" operator="equal">
      <formula>"Below Goal"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topLeftCell="A3" zoomScale="130" zoomScaleNormal="130" workbookViewId="0">
      <selection activeCell="I7" sqref="I7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126</v>
      </c>
    </row>
    <row r="3" spans="1:7" x14ac:dyDescent="0.3">
      <c r="A3" s="2" t="s">
        <v>127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128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129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130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131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132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133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134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135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136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137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138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139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140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141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142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143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144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145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146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147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148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149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150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151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152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153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154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155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156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157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158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s="2" t="s">
        <v>159</v>
      </c>
    </row>
    <row r="48" spans="1:7" x14ac:dyDescent="0.3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</row>
    <row r="49" spans="1:7" x14ac:dyDescent="0.3">
      <c r="A49" s="4" t="s">
        <v>9</v>
      </c>
      <c r="B49" s="4" t="s">
        <v>160</v>
      </c>
      <c r="C49" s="5"/>
      <c r="D49" s="6"/>
      <c r="E49" s="6">
        <v>175</v>
      </c>
      <c r="F49" s="6" t="str">
        <f t="shared" ref="F49:F55" si="8">IF(D49="","",D49-E49)</f>
        <v/>
      </c>
      <c r="G49" s="4" t="str">
        <f t="shared" ref="G49:G55" si="9">IF(F49="","",IF(F49&gt;=0,"Goal Met","Below Goal"))</f>
        <v/>
      </c>
    </row>
    <row r="50" spans="1:7" x14ac:dyDescent="0.3">
      <c r="A50" s="4" t="s">
        <v>11</v>
      </c>
      <c r="B50" s="4" t="s">
        <v>161</v>
      </c>
      <c r="C50" s="5"/>
      <c r="D50" s="6"/>
      <c r="E50" s="6">
        <v>175</v>
      </c>
      <c r="F50" s="6" t="str">
        <f t="shared" si="8"/>
        <v/>
      </c>
      <c r="G50" s="4" t="str">
        <f t="shared" si="9"/>
        <v/>
      </c>
    </row>
    <row r="51" spans="1:7" x14ac:dyDescent="0.3">
      <c r="A51" s="4" t="s">
        <v>13</v>
      </c>
      <c r="B51" s="4" t="s">
        <v>162</v>
      </c>
      <c r="C51" s="5"/>
      <c r="D51" s="6"/>
      <c r="E51" s="6">
        <v>175</v>
      </c>
      <c r="F51" s="6" t="str">
        <f t="shared" si="8"/>
        <v/>
      </c>
      <c r="G51" s="4" t="str">
        <f t="shared" si="9"/>
        <v/>
      </c>
    </row>
    <row r="52" spans="1:7" x14ac:dyDescent="0.3">
      <c r="A52" s="4" t="s">
        <v>15</v>
      </c>
      <c r="B52" s="4" t="s">
        <v>163</v>
      </c>
      <c r="C52" s="5"/>
      <c r="D52" s="6"/>
      <c r="E52" s="6">
        <v>175</v>
      </c>
      <c r="F52" s="6" t="str">
        <f t="shared" si="8"/>
        <v/>
      </c>
      <c r="G52" s="4" t="str">
        <f t="shared" si="9"/>
        <v/>
      </c>
    </row>
    <row r="53" spans="1:7" x14ac:dyDescent="0.3">
      <c r="A53" s="4" t="s">
        <v>17</v>
      </c>
      <c r="B53" s="4" t="s">
        <v>164</v>
      </c>
      <c r="C53" s="5"/>
      <c r="D53" s="6"/>
      <c r="E53" s="6">
        <v>175</v>
      </c>
      <c r="F53" s="6" t="str">
        <f t="shared" si="8"/>
        <v/>
      </c>
      <c r="G53" s="4" t="str">
        <f t="shared" si="9"/>
        <v/>
      </c>
    </row>
    <row r="54" spans="1:7" x14ac:dyDescent="0.3">
      <c r="A54" s="4" t="s">
        <v>19</v>
      </c>
      <c r="B54" s="4" t="s">
        <v>165</v>
      </c>
      <c r="C54" s="5"/>
      <c r="D54" s="6"/>
      <c r="E54" s="6">
        <v>175</v>
      </c>
      <c r="F54" s="6" t="str">
        <f t="shared" si="8"/>
        <v/>
      </c>
      <c r="G54" s="4" t="str">
        <f t="shared" si="9"/>
        <v/>
      </c>
    </row>
    <row r="55" spans="1:7" x14ac:dyDescent="0.3">
      <c r="A55" s="4" t="s">
        <v>21</v>
      </c>
      <c r="B55" s="4" t="s">
        <v>166</v>
      </c>
      <c r="C55" s="5"/>
      <c r="D55" s="6"/>
      <c r="E55" s="6">
        <v>175</v>
      </c>
      <c r="F55" s="6" t="str">
        <f t="shared" si="8"/>
        <v/>
      </c>
      <c r="G55" s="4" t="str">
        <f t="shared" si="9"/>
        <v/>
      </c>
    </row>
    <row r="56" spans="1:7" x14ac:dyDescent="0.3">
      <c r="A56" s="7" t="s">
        <v>23</v>
      </c>
      <c r="B56" s="7"/>
      <c r="C56" s="8">
        <f>DOLLARFR(IFERROR(DOLLARDE(C49,60),0)+IFERROR(DOLLARDE(C50,60),0)+IFERROR(DOLLARDE(C51,60),0)+IFERROR(DOLLARDE(C52,60),0)+IFERROR(DOLLARDE(C53,60),0)+IFERROR(DOLLARDE(C54,60),0)+IFERROR(DOLLARDE(C55,60),0), 60)</f>
        <v>0</v>
      </c>
      <c r="D56" s="9">
        <f>SUM(D49:D55)</f>
        <v>0</v>
      </c>
      <c r="E56" s="9">
        <f>SUM(E49:E55)</f>
        <v>1225</v>
      </c>
      <c r="F56" s="9">
        <f>D56-E56</f>
        <v>-1225</v>
      </c>
      <c r="G56" s="7" t="str">
        <f>IF(D56="","",IF(F56&gt;=0,"Goal Met","Below Goal"))</f>
        <v>Below Goal</v>
      </c>
    </row>
    <row r="58" spans="1:7" x14ac:dyDescent="0.3">
      <c r="A58" t="s">
        <v>167</v>
      </c>
    </row>
    <row r="60" spans="1:7" x14ac:dyDescent="0.3">
      <c r="A60" s="7" t="s">
        <v>57</v>
      </c>
      <c r="B60" s="7"/>
      <c r="C60" s="8">
        <f>DOLLARFR(IFERROR(DOLLARDE(C12,60),0)+IFERROR(DOLLARDE(C23,60),0)+IFERROR(DOLLARDE(C34,60),0)+IFERROR(DOLLARDE(C45,60),0)+IFERROR(DOLLARDE(C56,60),0), 60)</f>
        <v>0</v>
      </c>
      <c r="D60" s="9">
        <f>D12+D23+D34+D45+D56</f>
        <v>0</v>
      </c>
      <c r="E60" s="9">
        <f>E12+E23+E34+E45+E56</f>
        <v>6125</v>
      </c>
      <c r="F60" s="9">
        <f>D60-E60</f>
        <v>-6125</v>
      </c>
      <c r="G60" s="7" t="str">
        <f>IF(D60="","",IF(F60&gt;=0,"Goal Met","Below Goal"))</f>
        <v>Below Goal</v>
      </c>
    </row>
  </sheetData>
  <conditionalFormatting sqref="F1:F58">
    <cfRule type="expression" dxfId="75" priority="1" stopIfTrue="1">
      <formula>AND(ISNUMBER(F1), F1&gt;=0)</formula>
    </cfRule>
    <cfRule type="expression" dxfId="74" priority="2" stopIfTrue="1">
      <formula>AND(ISNUMBER(F1), F1&lt;0)</formula>
    </cfRule>
  </conditionalFormatting>
  <conditionalFormatting sqref="F1:F60">
    <cfRule type="expression" dxfId="73" priority="5" stopIfTrue="1">
      <formula>AND(ISNUMBER(F1), F1&gt;=0)</formula>
    </cfRule>
    <cfRule type="expression" dxfId="72" priority="6" stopIfTrue="1">
      <formula>AND(ISNUMBER(F1), F1&lt;0)</formula>
    </cfRule>
  </conditionalFormatting>
  <conditionalFormatting sqref="G1:G58">
    <cfRule type="cellIs" dxfId="71" priority="3" stopIfTrue="1" operator="equal">
      <formula>"Goal Met"</formula>
    </cfRule>
    <cfRule type="cellIs" dxfId="70" priority="4" stopIfTrue="1" operator="equal">
      <formula>"Below Goal"</formula>
    </cfRule>
  </conditionalFormatting>
  <conditionalFormatting sqref="G1:G60">
    <cfRule type="cellIs" dxfId="69" priority="7" stopIfTrue="1" operator="equal">
      <formula>"Goal Met"</formula>
    </cfRule>
    <cfRule type="cellIs" dxfId="68" priority="8" stopIfTrue="1" operator="equal">
      <formula>"Below Goal"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168</v>
      </c>
    </row>
    <row r="3" spans="1:7" x14ac:dyDescent="0.3">
      <c r="A3" s="2" t="s">
        <v>169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170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171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172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173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174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175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176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177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178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179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180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181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182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183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184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185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186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187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188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189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190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191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192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193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194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195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196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197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198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199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200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t="s">
        <v>201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0</v>
      </c>
      <c r="D49" s="9">
        <f>D12+D23+D34+D45</f>
        <v>0</v>
      </c>
      <c r="E49" s="9">
        <f>E12+E23+E34+E45</f>
        <v>4900</v>
      </c>
      <c r="F49" s="9">
        <f>D49-E49</f>
        <v>-4900</v>
      </c>
      <c r="G49" s="7" t="str">
        <f>IF(D49="","",IF(F49&gt;=0,"Goal Met","Below Goal"))</f>
        <v>Below Goal</v>
      </c>
    </row>
  </sheetData>
  <conditionalFormatting sqref="F1:F47">
    <cfRule type="expression" dxfId="67" priority="1" stopIfTrue="1">
      <formula>AND(ISNUMBER(F1), F1&gt;=0)</formula>
    </cfRule>
    <cfRule type="expression" dxfId="66" priority="2" stopIfTrue="1">
      <formula>AND(ISNUMBER(F1), F1&lt;0)</formula>
    </cfRule>
  </conditionalFormatting>
  <conditionalFormatting sqref="F1:F49">
    <cfRule type="expression" dxfId="65" priority="5" stopIfTrue="1">
      <formula>AND(ISNUMBER(F1), F1&gt;=0)</formula>
    </cfRule>
    <cfRule type="expression" dxfId="64" priority="6" stopIfTrue="1">
      <formula>AND(ISNUMBER(F1), F1&lt;0)</formula>
    </cfRule>
  </conditionalFormatting>
  <conditionalFormatting sqref="G1:G47">
    <cfRule type="cellIs" dxfId="63" priority="3" stopIfTrue="1" operator="equal">
      <formula>"Goal Met"</formula>
    </cfRule>
    <cfRule type="cellIs" dxfId="62" priority="4" stopIfTrue="1" operator="equal">
      <formula>"Below Goal"</formula>
    </cfRule>
  </conditionalFormatting>
  <conditionalFormatting sqref="G1:G49">
    <cfRule type="cellIs" dxfId="61" priority="7" stopIfTrue="1" operator="equal">
      <formula>"Goal Met"</formula>
    </cfRule>
    <cfRule type="cellIs" dxfId="60" priority="8" stopIfTrue="1" operator="equal">
      <formula>"Below Goal"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202</v>
      </c>
    </row>
    <row r="3" spans="1:7" x14ac:dyDescent="0.3">
      <c r="A3" s="2" t="s">
        <v>203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204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205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206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207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208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209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210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211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212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213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214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215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216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217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218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219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220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221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222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223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224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225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226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227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228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229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230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231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232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233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234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t="s">
        <v>235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0</v>
      </c>
      <c r="D49" s="9">
        <f>D12+D23+D34+D45</f>
        <v>0</v>
      </c>
      <c r="E49" s="9">
        <f>E12+E23+E34+E45</f>
        <v>4900</v>
      </c>
      <c r="F49" s="9">
        <f>D49-E49</f>
        <v>-4900</v>
      </c>
      <c r="G49" s="7" t="str">
        <f>IF(D49="","",IF(F49&gt;=0,"Goal Met","Below Goal"))</f>
        <v>Below Goal</v>
      </c>
    </row>
  </sheetData>
  <conditionalFormatting sqref="F1:F47">
    <cfRule type="expression" dxfId="59" priority="1" stopIfTrue="1">
      <formula>AND(ISNUMBER(F1), F1&gt;=0)</formula>
    </cfRule>
    <cfRule type="expression" dxfId="58" priority="2" stopIfTrue="1">
      <formula>AND(ISNUMBER(F1), F1&lt;0)</formula>
    </cfRule>
  </conditionalFormatting>
  <conditionalFormatting sqref="F1:F49">
    <cfRule type="expression" dxfId="57" priority="5" stopIfTrue="1">
      <formula>AND(ISNUMBER(F1), F1&gt;=0)</formula>
    </cfRule>
    <cfRule type="expression" dxfId="56" priority="6" stopIfTrue="1">
      <formula>AND(ISNUMBER(F1), F1&lt;0)</formula>
    </cfRule>
  </conditionalFormatting>
  <conditionalFormatting sqref="G1:G47">
    <cfRule type="cellIs" dxfId="55" priority="3" stopIfTrue="1" operator="equal">
      <formula>"Goal Met"</formula>
    </cfRule>
    <cfRule type="cellIs" dxfId="54" priority="4" stopIfTrue="1" operator="equal">
      <formula>"Below Goal"</formula>
    </cfRule>
  </conditionalFormatting>
  <conditionalFormatting sqref="G1:G49">
    <cfRule type="cellIs" dxfId="53" priority="7" stopIfTrue="1" operator="equal">
      <formula>"Goal Met"</formula>
    </cfRule>
    <cfRule type="cellIs" dxfId="52" priority="8" stopIfTrue="1" operator="equal">
      <formula>"Below Goal"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236</v>
      </c>
    </row>
    <row r="3" spans="1:7" x14ac:dyDescent="0.3">
      <c r="A3" s="2" t="s">
        <v>237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238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239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240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241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242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243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244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245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246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247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248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249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250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251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252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253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254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255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256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257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258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259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260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261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262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263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264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265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266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267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268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s="2" t="s">
        <v>269</v>
      </c>
    </row>
    <row r="48" spans="1:7" x14ac:dyDescent="0.3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</row>
    <row r="49" spans="1:7" x14ac:dyDescent="0.3">
      <c r="A49" s="4" t="s">
        <v>9</v>
      </c>
      <c r="B49" s="4" t="s">
        <v>270</v>
      </c>
      <c r="C49" s="5"/>
      <c r="D49" s="6"/>
      <c r="E49" s="6">
        <v>175</v>
      </c>
      <c r="F49" s="6" t="str">
        <f t="shared" ref="F49:F55" si="8">IF(D49="","",D49-E49)</f>
        <v/>
      </c>
      <c r="G49" s="4" t="str">
        <f t="shared" ref="G49:G55" si="9">IF(F49="","",IF(F49&gt;=0,"Goal Met","Below Goal"))</f>
        <v/>
      </c>
    </row>
    <row r="50" spans="1:7" x14ac:dyDescent="0.3">
      <c r="A50" s="4" t="s">
        <v>11</v>
      </c>
      <c r="B50" s="4" t="s">
        <v>271</v>
      </c>
      <c r="C50" s="5"/>
      <c r="D50" s="6"/>
      <c r="E50" s="6">
        <v>175</v>
      </c>
      <c r="F50" s="6" t="str">
        <f t="shared" si="8"/>
        <v/>
      </c>
      <c r="G50" s="4" t="str">
        <f t="shared" si="9"/>
        <v/>
      </c>
    </row>
    <row r="51" spans="1:7" x14ac:dyDescent="0.3">
      <c r="A51" s="4" t="s">
        <v>13</v>
      </c>
      <c r="B51" s="4" t="s">
        <v>272</v>
      </c>
      <c r="C51" s="5"/>
      <c r="D51" s="6"/>
      <c r="E51" s="6">
        <v>175</v>
      </c>
      <c r="F51" s="6" t="str">
        <f t="shared" si="8"/>
        <v/>
      </c>
      <c r="G51" s="4" t="str">
        <f t="shared" si="9"/>
        <v/>
      </c>
    </row>
    <row r="52" spans="1:7" x14ac:dyDescent="0.3">
      <c r="A52" s="4" t="s">
        <v>15</v>
      </c>
      <c r="B52" s="4" t="s">
        <v>273</v>
      </c>
      <c r="C52" s="5"/>
      <c r="D52" s="6"/>
      <c r="E52" s="6">
        <v>175</v>
      </c>
      <c r="F52" s="6" t="str">
        <f t="shared" si="8"/>
        <v/>
      </c>
      <c r="G52" s="4" t="str">
        <f t="shared" si="9"/>
        <v/>
      </c>
    </row>
    <row r="53" spans="1:7" x14ac:dyDescent="0.3">
      <c r="A53" s="4" t="s">
        <v>17</v>
      </c>
      <c r="B53" s="4" t="s">
        <v>274</v>
      </c>
      <c r="C53" s="5"/>
      <c r="D53" s="6"/>
      <c r="E53" s="6">
        <v>175</v>
      </c>
      <c r="F53" s="6" t="str">
        <f t="shared" si="8"/>
        <v/>
      </c>
      <c r="G53" s="4" t="str">
        <f t="shared" si="9"/>
        <v/>
      </c>
    </row>
    <row r="54" spans="1:7" x14ac:dyDescent="0.3">
      <c r="A54" s="4" t="s">
        <v>19</v>
      </c>
      <c r="B54" s="4" t="s">
        <v>275</v>
      </c>
      <c r="C54" s="5"/>
      <c r="D54" s="6"/>
      <c r="E54" s="6">
        <v>175</v>
      </c>
      <c r="F54" s="6" t="str">
        <f t="shared" si="8"/>
        <v/>
      </c>
      <c r="G54" s="4" t="str">
        <f t="shared" si="9"/>
        <v/>
      </c>
    </row>
    <row r="55" spans="1:7" x14ac:dyDescent="0.3">
      <c r="A55" s="4" t="s">
        <v>21</v>
      </c>
      <c r="B55" s="4" t="s">
        <v>276</v>
      </c>
      <c r="C55" s="5"/>
      <c r="D55" s="6"/>
      <c r="E55" s="6">
        <v>175</v>
      </c>
      <c r="F55" s="6" t="str">
        <f t="shared" si="8"/>
        <v/>
      </c>
      <c r="G55" s="4" t="str">
        <f t="shared" si="9"/>
        <v/>
      </c>
    </row>
    <row r="56" spans="1:7" x14ac:dyDescent="0.3">
      <c r="A56" s="7" t="s">
        <v>23</v>
      </c>
      <c r="B56" s="7"/>
      <c r="C56" s="8">
        <f>DOLLARFR(IFERROR(DOLLARDE(C49,60),0)+IFERROR(DOLLARDE(C50,60),0)+IFERROR(DOLLARDE(C51,60),0)+IFERROR(DOLLARDE(C52,60),0)+IFERROR(DOLLARDE(C53,60),0)+IFERROR(DOLLARDE(C54,60),0)+IFERROR(DOLLARDE(C55,60),0), 60)</f>
        <v>0</v>
      </c>
      <c r="D56" s="9">
        <f>SUM(D49:D55)</f>
        <v>0</v>
      </c>
      <c r="E56" s="9">
        <f>SUM(E49:E55)</f>
        <v>1225</v>
      </c>
      <c r="F56" s="9">
        <f>D56-E56</f>
        <v>-1225</v>
      </c>
      <c r="G56" s="7" t="str">
        <f>IF(D56="","",IF(F56&gt;=0,"Goal Met","Below Goal"))</f>
        <v>Below Goal</v>
      </c>
    </row>
    <row r="58" spans="1:7" x14ac:dyDescent="0.3">
      <c r="A58" t="s">
        <v>277</v>
      </c>
    </row>
    <row r="60" spans="1:7" x14ac:dyDescent="0.3">
      <c r="A60" s="7" t="s">
        <v>57</v>
      </c>
      <c r="B60" s="7"/>
      <c r="C60" s="8">
        <f>DOLLARFR(IFERROR(DOLLARDE(C12,60),0)+IFERROR(DOLLARDE(C23,60),0)+IFERROR(DOLLARDE(C34,60),0)+IFERROR(DOLLARDE(C45,60),0)+IFERROR(DOLLARDE(C56,60),0), 60)</f>
        <v>0</v>
      </c>
      <c r="D60" s="9">
        <f>D12+D23+D34+D45+D56</f>
        <v>0</v>
      </c>
      <c r="E60" s="9">
        <f>E12+E23+E34+E45+E56</f>
        <v>6125</v>
      </c>
      <c r="F60" s="9">
        <f>D60-E60</f>
        <v>-6125</v>
      </c>
      <c r="G60" s="7" t="str">
        <f>IF(D60="","",IF(F60&gt;=0,"Goal Met","Below Goal"))</f>
        <v>Below Goal</v>
      </c>
    </row>
  </sheetData>
  <conditionalFormatting sqref="F1:F58">
    <cfRule type="expression" dxfId="51" priority="1" stopIfTrue="1">
      <formula>AND(ISNUMBER(F1), F1&gt;=0)</formula>
    </cfRule>
    <cfRule type="expression" dxfId="50" priority="2" stopIfTrue="1">
      <formula>AND(ISNUMBER(F1), F1&lt;0)</formula>
    </cfRule>
  </conditionalFormatting>
  <conditionalFormatting sqref="F1:F60">
    <cfRule type="expression" dxfId="49" priority="5" stopIfTrue="1">
      <formula>AND(ISNUMBER(F1), F1&gt;=0)</formula>
    </cfRule>
    <cfRule type="expression" dxfId="48" priority="6" stopIfTrue="1">
      <formula>AND(ISNUMBER(F1), F1&lt;0)</formula>
    </cfRule>
  </conditionalFormatting>
  <conditionalFormatting sqref="G1:G58">
    <cfRule type="cellIs" dxfId="47" priority="3" stopIfTrue="1" operator="equal">
      <formula>"Goal Met"</formula>
    </cfRule>
    <cfRule type="cellIs" dxfId="46" priority="4" stopIfTrue="1" operator="equal">
      <formula>"Below Goal"</formula>
    </cfRule>
  </conditionalFormatting>
  <conditionalFormatting sqref="G1:G60">
    <cfRule type="cellIs" dxfId="45" priority="7" stopIfTrue="1" operator="equal">
      <formula>"Goal Met"</formula>
    </cfRule>
    <cfRule type="cellIs" dxfId="44" priority="8" stopIfTrue="1" operator="equal">
      <formula>"Below Goal"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278</v>
      </c>
    </row>
    <row r="3" spans="1:7" x14ac:dyDescent="0.3">
      <c r="A3" s="2" t="s">
        <v>279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280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281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282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283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284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285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286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287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288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289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290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291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292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293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294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295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296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297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298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299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300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301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302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303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304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305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306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307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308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309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310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t="s">
        <v>311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0</v>
      </c>
      <c r="D49" s="9">
        <f>D12+D23+D34+D45</f>
        <v>0</v>
      </c>
      <c r="E49" s="9">
        <f>E12+E23+E34+E45</f>
        <v>4900</v>
      </c>
      <c r="F49" s="9">
        <f>D49-E49</f>
        <v>-4900</v>
      </c>
      <c r="G49" s="7" t="str">
        <f>IF(D49="","",IF(F49&gt;=0,"Goal Met","Below Goal"))</f>
        <v>Below Goal</v>
      </c>
    </row>
  </sheetData>
  <conditionalFormatting sqref="F1:F47">
    <cfRule type="expression" dxfId="43" priority="1" stopIfTrue="1">
      <formula>AND(ISNUMBER(F1), F1&gt;=0)</formula>
    </cfRule>
    <cfRule type="expression" dxfId="42" priority="2" stopIfTrue="1">
      <formula>AND(ISNUMBER(F1), F1&lt;0)</formula>
    </cfRule>
  </conditionalFormatting>
  <conditionalFormatting sqref="F1:F49">
    <cfRule type="expression" dxfId="41" priority="5" stopIfTrue="1">
      <formula>AND(ISNUMBER(F1), F1&gt;=0)</formula>
    </cfRule>
    <cfRule type="expression" dxfId="40" priority="6" stopIfTrue="1">
      <formula>AND(ISNUMBER(F1), F1&lt;0)</formula>
    </cfRule>
  </conditionalFormatting>
  <conditionalFormatting sqref="G1:G47">
    <cfRule type="cellIs" dxfId="39" priority="3" stopIfTrue="1" operator="equal">
      <formula>"Goal Met"</formula>
    </cfRule>
    <cfRule type="cellIs" dxfId="38" priority="4" stopIfTrue="1" operator="equal">
      <formula>"Below Goal"</formula>
    </cfRule>
  </conditionalFormatting>
  <conditionalFormatting sqref="G1:G49">
    <cfRule type="cellIs" dxfId="37" priority="7" stopIfTrue="1" operator="equal">
      <formula>"Goal Met"</formula>
    </cfRule>
    <cfRule type="cellIs" dxfId="36" priority="8" stopIfTrue="1" operator="equal">
      <formula>"Below Goal"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9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312</v>
      </c>
    </row>
    <row r="3" spans="1:7" x14ac:dyDescent="0.3">
      <c r="A3" s="2" t="s">
        <v>313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314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315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316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317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318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319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320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321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322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323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324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325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326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327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328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329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330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331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332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333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334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335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336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337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338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339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340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341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342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343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344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t="s">
        <v>345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0</v>
      </c>
      <c r="D49" s="9">
        <f>D12+D23+D34+D45</f>
        <v>0</v>
      </c>
      <c r="E49" s="9">
        <f>E12+E23+E34+E45</f>
        <v>4900</v>
      </c>
      <c r="F49" s="9">
        <f>D49-E49</f>
        <v>-4900</v>
      </c>
      <c r="G49" s="7" t="str">
        <f>IF(D49="","",IF(F49&gt;=0,"Goal Met","Below Goal"))</f>
        <v>Below Goal</v>
      </c>
    </row>
  </sheetData>
  <conditionalFormatting sqref="F1:F47">
    <cfRule type="expression" dxfId="35" priority="1" stopIfTrue="1">
      <formula>AND(ISNUMBER(F1), F1&gt;=0)</formula>
    </cfRule>
    <cfRule type="expression" dxfId="34" priority="2" stopIfTrue="1">
      <formula>AND(ISNUMBER(F1), F1&lt;0)</formula>
    </cfRule>
  </conditionalFormatting>
  <conditionalFormatting sqref="F1:F49">
    <cfRule type="expression" dxfId="33" priority="5" stopIfTrue="1">
      <formula>AND(ISNUMBER(F1), F1&gt;=0)</formula>
    </cfRule>
    <cfRule type="expression" dxfId="32" priority="6" stopIfTrue="1">
      <formula>AND(ISNUMBER(F1), F1&lt;0)</formula>
    </cfRule>
  </conditionalFormatting>
  <conditionalFormatting sqref="G1:G47">
    <cfRule type="cellIs" dxfId="31" priority="3" stopIfTrue="1" operator="equal">
      <formula>"Goal Met"</formula>
    </cfRule>
    <cfRule type="cellIs" dxfId="30" priority="4" stopIfTrue="1" operator="equal">
      <formula>"Below Goal"</formula>
    </cfRule>
  </conditionalFormatting>
  <conditionalFormatting sqref="G1:G49">
    <cfRule type="cellIs" dxfId="29" priority="7" stopIfTrue="1" operator="equal">
      <formula>"Goal Met"</formula>
    </cfRule>
    <cfRule type="cellIs" dxfId="28" priority="8" stopIfTrue="1" operator="equal">
      <formula>"Below Goal"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9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346</v>
      </c>
    </row>
    <row r="3" spans="1:7" x14ac:dyDescent="0.3">
      <c r="A3" s="2" t="s">
        <v>347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348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349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350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351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352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353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354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355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356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357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358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359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360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361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362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363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364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365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366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367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368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369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370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371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372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373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374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375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376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377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378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t="s">
        <v>379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0</v>
      </c>
      <c r="D49" s="9">
        <f>D12+D23+D34+D45</f>
        <v>0</v>
      </c>
      <c r="E49" s="9">
        <f>E12+E23+E34+E45</f>
        <v>4900</v>
      </c>
      <c r="F49" s="9">
        <f>D49-E49</f>
        <v>-4900</v>
      </c>
      <c r="G49" s="7" t="str">
        <f>IF(D49="","",IF(F49&gt;=0,"Goal Met","Below Goal"))</f>
        <v>Below Goal</v>
      </c>
    </row>
  </sheetData>
  <conditionalFormatting sqref="F1:F47">
    <cfRule type="expression" dxfId="27" priority="1" stopIfTrue="1">
      <formula>AND(ISNUMBER(F1), F1&gt;=0)</formula>
    </cfRule>
    <cfRule type="expression" dxfId="26" priority="2" stopIfTrue="1">
      <formula>AND(ISNUMBER(F1), F1&lt;0)</formula>
    </cfRule>
  </conditionalFormatting>
  <conditionalFormatting sqref="F1:F49">
    <cfRule type="expression" dxfId="25" priority="5" stopIfTrue="1">
      <formula>AND(ISNUMBER(F1), F1&gt;=0)</formula>
    </cfRule>
    <cfRule type="expression" dxfId="24" priority="6" stopIfTrue="1">
      <formula>AND(ISNUMBER(F1), F1&lt;0)</formula>
    </cfRule>
  </conditionalFormatting>
  <conditionalFormatting sqref="G1:G47">
    <cfRule type="cellIs" dxfId="23" priority="3" stopIfTrue="1" operator="equal">
      <formula>"Goal Met"</formula>
    </cfRule>
    <cfRule type="cellIs" dxfId="22" priority="4" stopIfTrue="1" operator="equal">
      <formula>"Below Goal"</formula>
    </cfRule>
  </conditionalFormatting>
  <conditionalFormatting sqref="G1:G49">
    <cfRule type="cellIs" dxfId="21" priority="7" stopIfTrue="1" operator="equal">
      <formula>"Goal Met"</formula>
    </cfRule>
    <cfRule type="cellIs" dxfId="20" priority="8" stopIfTrue="1" operator="equal">
      <formula>"Below Goal"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380</v>
      </c>
    </row>
    <row r="3" spans="1:7" x14ac:dyDescent="0.3">
      <c r="A3" s="2" t="s">
        <v>381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382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383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384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385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386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387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388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389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390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391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392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393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394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395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396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397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398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399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400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401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402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403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404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405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406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407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408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409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410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411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412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s="2" t="s">
        <v>413</v>
      </c>
    </row>
    <row r="48" spans="1:7" x14ac:dyDescent="0.3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</row>
    <row r="49" spans="1:7" x14ac:dyDescent="0.3">
      <c r="A49" s="4" t="s">
        <v>9</v>
      </c>
      <c r="B49" s="4" t="s">
        <v>414</v>
      </c>
      <c r="C49" s="5"/>
      <c r="D49" s="6"/>
      <c r="E49" s="6">
        <v>175</v>
      </c>
      <c r="F49" s="6" t="str">
        <f t="shared" ref="F49:F55" si="8">IF(D49="","",D49-E49)</f>
        <v/>
      </c>
      <c r="G49" s="4" t="str">
        <f t="shared" ref="G49:G55" si="9">IF(F49="","",IF(F49&gt;=0,"Goal Met","Below Goal"))</f>
        <v/>
      </c>
    </row>
    <row r="50" spans="1:7" x14ac:dyDescent="0.3">
      <c r="A50" s="4" t="s">
        <v>11</v>
      </c>
      <c r="B50" s="4" t="s">
        <v>415</v>
      </c>
      <c r="C50" s="5"/>
      <c r="D50" s="6"/>
      <c r="E50" s="6">
        <v>175</v>
      </c>
      <c r="F50" s="6" t="str">
        <f t="shared" si="8"/>
        <v/>
      </c>
      <c r="G50" s="4" t="str">
        <f t="shared" si="9"/>
        <v/>
      </c>
    </row>
    <row r="51" spans="1:7" x14ac:dyDescent="0.3">
      <c r="A51" s="4" t="s">
        <v>13</v>
      </c>
      <c r="B51" s="4" t="s">
        <v>416</v>
      </c>
      <c r="C51" s="5"/>
      <c r="D51" s="6"/>
      <c r="E51" s="6">
        <v>175</v>
      </c>
      <c r="F51" s="6" t="str">
        <f t="shared" si="8"/>
        <v/>
      </c>
      <c r="G51" s="4" t="str">
        <f t="shared" si="9"/>
        <v/>
      </c>
    </row>
    <row r="52" spans="1:7" x14ac:dyDescent="0.3">
      <c r="A52" s="4" t="s">
        <v>15</v>
      </c>
      <c r="B52" s="4" t="s">
        <v>417</v>
      </c>
      <c r="C52" s="5"/>
      <c r="D52" s="6"/>
      <c r="E52" s="6">
        <v>175</v>
      </c>
      <c r="F52" s="6" t="str">
        <f t="shared" si="8"/>
        <v/>
      </c>
      <c r="G52" s="4" t="str">
        <f t="shared" si="9"/>
        <v/>
      </c>
    </row>
    <row r="53" spans="1:7" x14ac:dyDescent="0.3">
      <c r="A53" s="4" t="s">
        <v>17</v>
      </c>
      <c r="B53" s="4" t="s">
        <v>418</v>
      </c>
      <c r="C53" s="5"/>
      <c r="D53" s="6"/>
      <c r="E53" s="6">
        <v>175</v>
      </c>
      <c r="F53" s="6" t="str">
        <f t="shared" si="8"/>
        <v/>
      </c>
      <c r="G53" s="4" t="str">
        <f t="shared" si="9"/>
        <v/>
      </c>
    </row>
    <row r="54" spans="1:7" x14ac:dyDescent="0.3">
      <c r="A54" s="4" t="s">
        <v>19</v>
      </c>
      <c r="B54" s="4" t="s">
        <v>419</v>
      </c>
      <c r="C54" s="5"/>
      <c r="D54" s="6"/>
      <c r="E54" s="6">
        <v>175</v>
      </c>
      <c r="F54" s="6" t="str">
        <f t="shared" si="8"/>
        <v/>
      </c>
      <c r="G54" s="4" t="str">
        <f t="shared" si="9"/>
        <v/>
      </c>
    </row>
    <row r="55" spans="1:7" x14ac:dyDescent="0.3">
      <c r="A55" s="4" t="s">
        <v>21</v>
      </c>
      <c r="B55" s="4" t="s">
        <v>420</v>
      </c>
      <c r="C55" s="5"/>
      <c r="D55" s="6"/>
      <c r="E55" s="6">
        <v>175</v>
      </c>
      <c r="F55" s="6" t="str">
        <f t="shared" si="8"/>
        <v/>
      </c>
      <c r="G55" s="4" t="str">
        <f t="shared" si="9"/>
        <v/>
      </c>
    </row>
    <row r="56" spans="1:7" x14ac:dyDescent="0.3">
      <c r="A56" s="7" t="s">
        <v>23</v>
      </c>
      <c r="B56" s="7"/>
      <c r="C56" s="8">
        <f>DOLLARFR(IFERROR(DOLLARDE(C49,60),0)+IFERROR(DOLLARDE(C50,60),0)+IFERROR(DOLLARDE(C51,60),0)+IFERROR(DOLLARDE(C52,60),0)+IFERROR(DOLLARDE(C53,60),0)+IFERROR(DOLLARDE(C54,60),0)+IFERROR(DOLLARDE(C55,60),0), 60)</f>
        <v>0</v>
      </c>
      <c r="D56" s="9">
        <f>SUM(D49:D55)</f>
        <v>0</v>
      </c>
      <c r="E56" s="9">
        <f>SUM(E49:E55)</f>
        <v>1225</v>
      </c>
      <c r="F56" s="9">
        <f>D56-E56</f>
        <v>-1225</v>
      </c>
      <c r="G56" s="7" t="str">
        <f>IF(D56="","",IF(F56&gt;=0,"Goal Met","Below Goal"))</f>
        <v>Below Goal</v>
      </c>
    </row>
    <row r="58" spans="1:7" x14ac:dyDescent="0.3">
      <c r="A58" t="s">
        <v>421</v>
      </c>
    </row>
    <row r="60" spans="1:7" x14ac:dyDescent="0.3">
      <c r="A60" s="7" t="s">
        <v>57</v>
      </c>
      <c r="B60" s="7"/>
      <c r="C60" s="8">
        <f>DOLLARFR(IFERROR(DOLLARDE(C12,60),0)+IFERROR(DOLLARDE(C23,60),0)+IFERROR(DOLLARDE(C34,60),0)+IFERROR(DOLLARDE(C45,60),0)+IFERROR(DOLLARDE(C56,60),0), 60)</f>
        <v>0</v>
      </c>
      <c r="D60" s="9">
        <f>D12+D23+D34+D45+D56</f>
        <v>0</v>
      </c>
      <c r="E60" s="9">
        <f>E12+E23+E34+E45+E56</f>
        <v>6125</v>
      </c>
      <c r="F60" s="9">
        <f>D60-E60</f>
        <v>-6125</v>
      </c>
      <c r="G60" s="7" t="str">
        <f>IF(D60="","",IF(F60&gt;=0,"Goal Met","Below Goal"))</f>
        <v>Below Goal</v>
      </c>
    </row>
  </sheetData>
  <conditionalFormatting sqref="F1:F58">
    <cfRule type="expression" dxfId="19" priority="1" stopIfTrue="1">
      <formula>AND(ISNUMBER(F1), F1&gt;=0)</formula>
    </cfRule>
    <cfRule type="expression" dxfId="18" priority="2" stopIfTrue="1">
      <formula>AND(ISNUMBER(F1), F1&lt;0)</formula>
    </cfRule>
  </conditionalFormatting>
  <conditionalFormatting sqref="F1:F60">
    <cfRule type="expression" dxfId="17" priority="5" stopIfTrue="1">
      <formula>AND(ISNUMBER(F1), F1&gt;=0)</formula>
    </cfRule>
    <cfRule type="expression" dxfId="16" priority="6" stopIfTrue="1">
      <formula>AND(ISNUMBER(F1), F1&lt;0)</formula>
    </cfRule>
  </conditionalFormatting>
  <conditionalFormatting sqref="G1:G58">
    <cfRule type="cellIs" dxfId="15" priority="3" stopIfTrue="1" operator="equal">
      <formula>"Goal Met"</formula>
    </cfRule>
    <cfRule type="cellIs" dxfId="14" priority="4" stopIfTrue="1" operator="equal">
      <formula>"Below Goal"</formula>
    </cfRule>
  </conditionalFormatting>
  <conditionalFormatting sqref="G1:G60">
    <cfRule type="cellIs" dxfId="13" priority="7" stopIfTrue="1" operator="equal">
      <formula>"Goal Met"</formula>
    </cfRule>
    <cfRule type="cellIs" dxfId="12" priority="8" stopIfTrue="1" operator="equal">
      <formula>"Below Goal"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9"/>
  <sheetViews>
    <sheetView workbookViewId="0"/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7" ht="18" customHeight="1" x14ac:dyDescent="0.35">
      <c r="A1" s="1" t="s">
        <v>422</v>
      </c>
    </row>
    <row r="3" spans="1:7" x14ac:dyDescent="0.3">
      <c r="A3" s="2" t="s">
        <v>413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4" t="s">
        <v>414</v>
      </c>
      <c r="C5" s="5"/>
      <c r="D5" s="6"/>
      <c r="E5" s="6">
        <v>175</v>
      </c>
      <c r="F5" s="6" t="str">
        <f t="shared" ref="F5:F11" si="0">IF(D5="","",D5-E5)</f>
        <v/>
      </c>
      <c r="G5" s="4" t="str">
        <f t="shared" ref="G5:G11" si="1">IF(F5="","",IF(F5&gt;=0,"Goal Met","Below Goal"))</f>
        <v/>
      </c>
    </row>
    <row r="6" spans="1:7" x14ac:dyDescent="0.3">
      <c r="A6" s="4" t="s">
        <v>11</v>
      </c>
      <c r="B6" s="4" t="s">
        <v>415</v>
      </c>
      <c r="C6" s="5"/>
      <c r="D6" s="6"/>
      <c r="E6" s="6">
        <v>175</v>
      </c>
      <c r="F6" s="6" t="str">
        <f t="shared" si="0"/>
        <v/>
      </c>
      <c r="G6" s="4" t="str">
        <f t="shared" si="1"/>
        <v/>
      </c>
    </row>
    <row r="7" spans="1:7" x14ac:dyDescent="0.3">
      <c r="A7" s="4" t="s">
        <v>13</v>
      </c>
      <c r="B7" s="4" t="s">
        <v>416</v>
      </c>
      <c r="C7" s="5"/>
      <c r="D7" s="6"/>
      <c r="E7" s="6">
        <v>175</v>
      </c>
      <c r="F7" s="6" t="str">
        <f t="shared" si="0"/>
        <v/>
      </c>
      <c r="G7" s="4" t="str">
        <f t="shared" si="1"/>
        <v/>
      </c>
    </row>
    <row r="8" spans="1:7" x14ac:dyDescent="0.3">
      <c r="A8" s="4" t="s">
        <v>15</v>
      </c>
      <c r="B8" s="4" t="s">
        <v>417</v>
      </c>
      <c r="C8" s="5"/>
      <c r="D8" s="6"/>
      <c r="E8" s="6">
        <v>175</v>
      </c>
      <c r="F8" s="6" t="str">
        <f t="shared" si="0"/>
        <v/>
      </c>
      <c r="G8" s="4" t="str">
        <f t="shared" si="1"/>
        <v/>
      </c>
    </row>
    <row r="9" spans="1:7" x14ac:dyDescent="0.3">
      <c r="A9" s="4" t="s">
        <v>17</v>
      </c>
      <c r="B9" s="4" t="s">
        <v>418</v>
      </c>
      <c r="C9" s="5"/>
      <c r="D9" s="6"/>
      <c r="E9" s="6">
        <v>175</v>
      </c>
      <c r="F9" s="6" t="str">
        <f t="shared" si="0"/>
        <v/>
      </c>
      <c r="G9" s="4" t="str">
        <f t="shared" si="1"/>
        <v/>
      </c>
    </row>
    <row r="10" spans="1:7" x14ac:dyDescent="0.3">
      <c r="A10" s="4" t="s">
        <v>19</v>
      </c>
      <c r="B10" s="4" t="s">
        <v>419</v>
      </c>
      <c r="C10" s="5"/>
      <c r="D10" s="6"/>
      <c r="E10" s="6">
        <v>175</v>
      </c>
      <c r="F10" s="6" t="str">
        <f t="shared" si="0"/>
        <v/>
      </c>
      <c r="G10" s="4" t="str">
        <f t="shared" si="1"/>
        <v/>
      </c>
    </row>
    <row r="11" spans="1:7" x14ac:dyDescent="0.3">
      <c r="A11" s="4" t="s">
        <v>21</v>
      </c>
      <c r="B11" s="4" t="s">
        <v>420</v>
      </c>
      <c r="C11" s="5"/>
      <c r="D11" s="6"/>
      <c r="E11" s="6">
        <v>175</v>
      </c>
      <c r="F11" s="6" t="str">
        <f t="shared" si="0"/>
        <v/>
      </c>
      <c r="G11" s="4" t="str">
        <f t="shared" si="1"/>
        <v/>
      </c>
    </row>
    <row r="12" spans="1:7" x14ac:dyDescent="0.3">
      <c r="A12" s="7" t="s">
        <v>23</v>
      </c>
      <c r="B12" s="7"/>
      <c r="C12" s="8">
        <f>DOLLARFR(IFERROR(DOLLARDE(C5,60),0)+IFERROR(DOLLARDE(C6,60),0)+IFERROR(DOLLARDE(C7,60),0)+IFERROR(DOLLARDE(C8,60),0)+IFERROR(DOLLARDE(C9,60),0)+IFERROR(DOLLARDE(C10,60),0)+IFERROR(DOLLARDE(C11,60),0), 60)</f>
        <v>0</v>
      </c>
      <c r="D12" s="9">
        <f>SUM(D5:D11)</f>
        <v>0</v>
      </c>
      <c r="E12" s="9">
        <f>SUM(E5:E11)</f>
        <v>1225</v>
      </c>
      <c r="F12" s="9">
        <f>D12-E12</f>
        <v>-1225</v>
      </c>
      <c r="G12" s="7" t="str">
        <f>IF(D12="","",IF(F12&gt;=0,"Goal Met","Below Goal"))</f>
        <v>Below Goal</v>
      </c>
    </row>
    <row r="14" spans="1:7" x14ac:dyDescent="0.3">
      <c r="A14" s="2" t="s">
        <v>423</v>
      </c>
    </row>
    <row r="15" spans="1:7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</row>
    <row r="16" spans="1:7" x14ac:dyDescent="0.3">
      <c r="A16" s="4" t="s">
        <v>9</v>
      </c>
      <c r="B16" s="4" t="s">
        <v>424</v>
      </c>
      <c r="C16" s="5"/>
      <c r="D16" s="6"/>
      <c r="E16" s="6">
        <v>175</v>
      </c>
      <c r="F16" s="6" t="str">
        <f t="shared" ref="F16:F22" si="2">IF(D16="","",D16-E16)</f>
        <v/>
      </c>
      <c r="G16" s="4" t="str">
        <f t="shared" ref="G16:G22" si="3">IF(F16="","",IF(F16&gt;=0,"Goal Met","Below Goal"))</f>
        <v/>
      </c>
    </row>
    <row r="17" spans="1:7" x14ac:dyDescent="0.3">
      <c r="A17" s="4" t="s">
        <v>11</v>
      </c>
      <c r="B17" s="4" t="s">
        <v>425</v>
      </c>
      <c r="C17" s="5"/>
      <c r="D17" s="6"/>
      <c r="E17" s="6">
        <v>175</v>
      </c>
      <c r="F17" s="6" t="str">
        <f t="shared" si="2"/>
        <v/>
      </c>
      <c r="G17" s="4" t="str">
        <f t="shared" si="3"/>
        <v/>
      </c>
    </row>
    <row r="18" spans="1:7" x14ac:dyDescent="0.3">
      <c r="A18" s="4" t="s">
        <v>13</v>
      </c>
      <c r="B18" s="4" t="s">
        <v>426</v>
      </c>
      <c r="C18" s="5"/>
      <c r="D18" s="6"/>
      <c r="E18" s="6">
        <v>175</v>
      </c>
      <c r="F18" s="6" t="str">
        <f t="shared" si="2"/>
        <v/>
      </c>
      <c r="G18" s="4" t="str">
        <f t="shared" si="3"/>
        <v/>
      </c>
    </row>
    <row r="19" spans="1:7" x14ac:dyDescent="0.3">
      <c r="A19" s="4" t="s">
        <v>15</v>
      </c>
      <c r="B19" s="4" t="s">
        <v>427</v>
      </c>
      <c r="C19" s="5"/>
      <c r="D19" s="6"/>
      <c r="E19" s="6">
        <v>175</v>
      </c>
      <c r="F19" s="6" t="str">
        <f t="shared" si="2"/>
        <v/>
      </c>
      <c r="G19" s="4" t="str">
        <f t="shared" si="3"/>
        <v/>
      </c>
    </row>
    <row r="20" spans="1:7" x14ac:dyDescent="0.3">
      <c r="A20" s="4" t="s">
        <v>17</v>
      </c>
      <c r="B20" s="4" t="s">
        <v>428</v>
      </c>
      <c r="C20" s="5"/>
      <c r="D20" s="6"/>
      <c r="E20" s="6">
        <v>175</v>
      </c>
      <c r="F20" s="6" t="str">
        <f t="shared" si="2"/>
        <v/>
      </c>
      <c r="G20" s="4" t="str">
        <f t="shared" si="3"/>
        <v/>
      </c>
    </row>
    <row r="21" spans="1:7" x14ac:dyDescent="0.3">
      <c r="A21" s="4" t="s">
        <v>19</v>
      </c>
      <c r="B21" s="4" t="s">
        <v>429</v>
      </c>
      <c r="C21" s="5"/>
      <c r="D21" s="6"/>
      <c r="E21" s="6">
        <v>175</v>
      </c>
      <c r="F21" s="6" t="str">
        <f t="shared" si="2"/>
        <v/>
      </c>
      <c r="G21" s="4" t="str">
        <f t="shared" si="3"/>
        <v/>
      </c>
    </row>
    <row r="22" spans="1:7" x14ac:dyDescent="0.3">
      <c r="A22" s="4" t="s">
        <v>21</v>
      </c>
      <c r="B22" s="4" t="s">
        <v>430</v>
      </c>
      <c r="C22" s="5"/>
      <c r="D22" s="6"/>
      <c r="E22" s="6">
        <v>175</v>
      </c>
      <c r="F22" s="6" t="str">
        <f t="shared" si="2"/>
        <v/>
      </c>
      <c r="G22" s="4" t="str">
        <f t="shared" si="3"/>
        <v/>
      </c>
    </row>
    <row r="23" spans="1:7" x14ac:dyDescent="0.3">
      <c r="A23" s="7" t="s">
        <v>23</v>
      </c>
      <c r="B23" s="7"/>
      <c r="C23" s="8">
        <f>DOLLARFR(IFERROR(DOLLARDE(C16,60),0)+IFERROR(DOLLARDE(C17,60),0)+IFERROR(DOLLARDE(C18,60),0)+IFERROR(DOLLARDE(C19,60),0)+IFERROR(DOLLARDE(C20,60),0)+IFERROR(DOLLARDE(C21,60),0)+IFERROR(DOLLARDE(C22,60),0), 60)</f>
        <v>0</v>
      </c>
      <c r="D23" s="9">
        <f>SUM(D16:D22)</f>
        <v>0</v>
      </c>
      <c r="E23" s="9">
        <f>SUM(E16:E22)</f>
        <v>1225</v>
      </c>
      <c r="F23" s="9">
        <f>D23-E23</f>
        <v>-1225</v>
      </c>
      <c r="G23" s="7" t="str">
        <f>IF(D23="","",IF(F23&gt;=0,"Goal Met","Below Goal"))</f>
        <v>Below Goal</v>
      </c>
    </row>
    <row r="25" spans="1:7" x14ac:dyDescent="0.3">
      <c r="A25" s="2" t="s">
        <v>431</v>
      </c>
    </row>
    <row r="26" spans="1:7" x14ac:dyDescent="0.3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spans="1:7" x14ac:dyDescent="0.3">
      <c r="A27" s="4" t="s">
        <v>9</v>
      </c>
      <c r="B27" s="4" t="s">
        <v>432</v>
      </c>
      <c r="C27" s="5"/>
      <c r="D27" s="6"/>
      <c r="E27" s="6">
        <v>175</v>
      </c>
      <c r="F27" s="6" t="str">
        <f t="shared" ref="F27:F33" si="4">IF(D27="","",D27-E27)</f>
        <v/>
      </c>
      <c r="G27" s="4" t="str">
        <f t="shared" ref="G27:G33" si="5">IF(F27="","",IF(F27&gt;=0,"Goal Met","Below Goal"))</f>
        <v/>
      </c>
    </row>
    <row r="28" spans="1:7" x14ac:dyDescent="0.3">
      <c r="A28" s="4" t="s">
        <v>11</v>
      </c>
      <c r="B28" s="4" t="s">
        <v>433</v>
      </c>
      <c r="C28" s="5"/>
      <c r="D28" s="6"/>
      <c r="E28" s="6">
        <v>175</v>
      </c>
      <c r="F28" s="6" t="str">
        <f t="shared" si="4"/>
        <v/>
      </c>
      <c r="G28" s="4" t="str">
        <f t="shared" si="5"/>
        <v/>
      </c>
    </row>
    <row r="29" spans="1:7" x14ac:dyDescent="0.3">
      <c r="A29" s="4" t="s">
        <v>13</v>
      </c>
      <c r="B29" s="4" t="s">
        <v>434</v>
      </c>
      <c r="C29" s="5"/>
      <c r="D29" s="6"/>
      <c r="E29" s="6">
        <v>175</v>
      </c>
      <c r="F29" s="6" t="str">
        <f t="shared" si="4"/>
        <v/>
      </c>
      <c r="G29" s="4" t="str">
        <f t="shared" si="5"/>
        <v/>
      </c>
    </row>
    <row r="30" spans="1:7" x14ac:dyDescent="0.3">
      <c r="A30" s="4" t="s">
        <v>15</v>
      </c>
      <c r="B30" s="4" t="s">
        <v>435</v>
      </c>
      <c r="C30" s="5"/>
      <c r="D30" s="6"/>
      <c r="E30" s="6">
        <v>175</v>
      </c>
      <c r="F30" s="6" t="str">
        <f t="shared" si="4"/>
        <v/>
      </c>
      <c r="G30" s="4" t="str">
        <f t="shared" si="5"/>
        <v/>
      </c>
    </row>
    <row r="31" spans="1:7" x14ac:dyDescent="0.3">
      <c r="A31" s="4" t="s">
        <v>17</v>
      </c>
      <c r="B31" s="4" t="s">
        <v>436</v>
      </c>
      <c r="C31" s="5"/>
      <c r="D31" s="6"/>
      <c r="E31" s="6">
        <v>175</v>
      </c>
      <c r="F31" s="6" t="str">
        <f t="shared" si="4"/>
        <v/>
      </c>
      <c r="G31" s="4" t="str">
        <f t="shared" si="5"/>
        <v/>
      </c>
    </row>
    <row r="32" spans="1:7" x14ac:dyDescent="0.3">
      <c r="A32" s="4" t="s">
        <v>19</v>
      </c>
      <c r="B32" s="4" t="s">
        <v>437</v>
      </c>
      <c r="C32" s="5"/>
      <c r="D32" s="6"/>
      <c r="E32" s="6">
        <v>175</v>
      </c>
      <c r="F32" s="6" t="str">
        <f t="shared" si="4"/>
        <v/>
      </c>
      <c r="G32" s="4" t="str">
        <f t="shared" si="5"/>
        <v/>
      </c>
    </row>
    <row r="33" spans="1:7" x14ac:dyDescent="0.3">
      <c r="A33" s="4" t="s">
        <v>21</v>
      </c>
      <c r="B33" s="4" t="s">
        <v>438</v>
      </c>
      <c r="C33" s="5"/>
      <c r="D33" s="6"/>
      <c r="E33" s="6">
        <v>175</v>
      </c>
      <c r="F33" s="6" t="str">
        <f t="shared" si="4"/>
        <v/>
      </c>
      <c r="G33" s="4" t="str">
        <f t="shared" si="5"/>
        <v/>
      </c>
    </row>
    <row r="34" spans="1:7" x14ac:dyDescent="0.3">
      <c r="A34" s="7" t="s">
        <v>23</v>
      </c>
      <c r="B34" s="7"/>
      <c r="C34" s="8">
        <f>DOLLARFR(IFERROR(DOLLARDE(C27,60),0)+IFERROR(DOLLARDE(C28,60),0)+IFERROR(DOLLARDE(C29,60),0)+IFERROR(DOLLARDE(C30,60),0)+IFERROR(DOLLARDE(C31,60),0)+IFERROR(DOLLARDE(C32,60),0)+IFERROR(DOLLARDE(C33,60),0), 60)</f>
        <v>0</v>
      </c>
      <c r="D34" s="9">
        <f>SUM(D27:D33)</f>
        <v>0</v>
      </c>
      <c r="E34" s="9">
        <f>SUM(E27:E33)</f>
        <v>1225</v>
      </c>
      <c r="F34" s="9">
        <f>D34-E34</f>
        <v>-1225</v>
      </c>
      <c r="G34" s="7" t="str">
        <f>IF(D34="","",IF(F34&gt;=0,"Goal Met","Below Goal"))</f>
        <v>Below Goal</v>
      </c>
    </row>
    <row r="36" spans="1:7" x14ac:dyDescent="0.3">
      <c r="A36" s="2" t="s">
        <v>439</v>
      </c>
    </row>
    <row r="37" spans="1:7" x14ac:dyDescent="0.3">
      <c r="A37" s="3" t="s">
        <v>2</v>
      </c>
      <c r="B37" s="3" t="s">
        <v>3</v>
      </c>
      <c r="C37" s="3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x14ac:dyDescent="0.3">
      <c r="A38" s="4" t="s">
        <v>9</v>
      </c>
      <c r="B38" s="4" t="s">
        <v>440</v>
      </c>
      <c r="C38" s="5"/>
      <c r="D38" s="6"/>
      <c r="E38" s="6">
        <v>175</v>
      </c>
      <c r="F38" s="6" t="str">
        <f t="shared" ref="F38:F44" si="6">IF(D38="","",D38-E38)</f>
        <v/>
      </c>
      <c r="G38" s="4" t="str">
        <f t="shared" ref="G38:G44" si="7">IF(F38="","",IF(F38&gt;=0,"Goal Met","Below Goal"))</f>
        <v/>
      </c>
    </row>
    <row r="39" spans="1:7" x14ac:dyDescent="0.3">
      <c r="A39" s="4" t="s">
        <v>11</v>
      </c>
      <c r="B39" s="4" t="s">
        <v>441</v>
      </c>
      <c r="C39" s="5"/>
      <c r="D39" s="6"/>
      <c r="E39" s="6">
        <v>175</v>
      </c>
      <c r="F39" s="6" t="str">
        <f t="shared" si="6"/>
        <v/>
      </c>
      <c r="G39" s="4" t="str">
        <f t="shared" si="7"/>
        <v/>
      </c>
    </row>
    <row r="40" spans="1:7" x14ac:dyDescent="0.3">
      <c r="A40" s="4" t="s">
        <v>13</v>
      </c>
      <c r="B40" s="4" t="s">
        <v>442</v>
      </c>
      <c r="C40" s="5"/>
      <c r="D40" s="6"/>
      <c r="E40" s="6">
        <v>175</v>
      </c>
      <c r="F40" s="6" t="str">
        <f t="shared" si="6"/>
        <v/>
      </c>
      <c r="G40" s="4" t="str">
        <f t="shared" si="7"/>
        <v/>
      </c>
    </row>
    <row r="41" spans="1:7" x14ac:dyDescent="0.3">
      <c r="A41" s="4" t="s">
        <v>15</v>
      </c>
      <c r="B41" s="4" t="s">
        <v>443</v>
      </c>
      <c r="C41" s="5"/>
      <c r="D41" s="6"/>
      <c r="E41" s="6">
        <v>175</v>
      </c>
      <c r="F41" s="6" t="str">
        <f t="shared" si="6"/>
        <v/>
      </c>
      <c r="G41" s="4" t="str">
        <f t="shared" si="7"/>
        <v/>
      </c>
    </row>
    <row r="42" spans="1:7" x14ac:dyDescent="0.3">
      <c r="A42" s="4" t="s">
        <v>17</v>
      </c>
      <c r="B42" s="4" t="s">
        <v>444</v>
      </c>
      <c r="C42" s="5"/>
      <c r="D42" s="6"/>
      <c r="E42" s="6">
        <v>175</v>
      </c>
      <c r="F42" s="6" t="str">
        <f t="shared" si="6"/>
        <v/>
      </c>
      <c r="G42" s="4" t="str">
        <f t="shared" si="7"/>
        <v/>
      </c>
    </row>
    <row r="43" spans="1:7" x14ac:dyDescent="0.3">
      <c r="A43" s="4" t="s">
        <v>19</v>
      </c>
      <c r="B43" s="4" t="s">
        <v>445</v>
      </c>
      <c r="C43" s="5"/>
      <c r="D43" s="6"/>
      <c r="E43" s="6">
        <v>175</v>
      </c>
      <c r="F43" s="6" t="str">
        <f t="shared" si="6"/>
        <v/>
      </c>
      <c r="G43" s="4" t="str">
        <f t="shared" si="7"/>
        <v/>
      </c>
    </row>
    <row r="44" spans="1:7" x14ac:dyDescent="0.3">
      <c r="A44" s="4" t="s">
        <v>21</v>
      </c>
      <c r="B44" s="4" t="s">
        <v>446</v>
      </c>
      <c r="C44" s="5"/>
      <c r="D44" s="6"/>
      <c r="E44" s="6">
        <v>175</v>
      </c>
      <c r="F44" s="6" t="str">
        <f t="shared" si="6"/>
        <v/>
      </c>
      <c r="G44" s="4" t="str">
        <f t="shared" si="7"/>
        <v/>
      </c>
    </row>
    <row r="45" spans="1:7" x14ac:dyDescent="0.3">
      <c r="A45" s="7" t="s">
        <v>23</v>
      </c>
      <c r="B45" s="7"/>
      <c r="C45" s="8">
        <f>DOLLARFR(IFERROR(DOLLARDE(C38,60),0)+IFERROR(DOLLARDE(C39,60),0)+IFERROR(DOLLARDE(C40,60),0)+IFERROR(DOLLARDE(C41,60),0)+IFERROR(DOLLARDE(C42,60),0)+IFERROR(DOLLARDE(C43,60),0)+IFERROR(DOLLARDE(C44,60),0), 60)</f>
        <v>0</v>
      </c>
      <c r="D45" s="9">
        <f>SUM(D38:D44)</f>
        <v>0</v>
      </c>
      <c r="E45" s="9">
        <f>SUM(E38:E44)</f>
        <v>1225</v>
      </c>
      <c r="F45" s="9">
        <f>D45-E45</f>
        <v>-1225</v>
      </c>
      <c r="G45" s="7" t="str">
        <f>IF(D45="","",IF(F45&gt;=0,"Goal Met","Below Goal"))</f>
        <v>Below Goal</v>
      </c>
    </row>
    <row r="47" spans="1:7" x14ac:dyDescent="0.3">
      <c r="A47" t="s">
        <v>447</v>
      </c>
    </row>
    <row r="49" spans="1:7" x14ac:dyDescent="0.3">
      <c r="A49" s="7" t="s">
        <v>57</v>
      </c>
      <c r="B49" s="7"/>
      <c r="C49" s="8">
        <f>DOLLARFR(IFERROR(DOLLARDE(C12,60),0)+IFERROR(DOLLARDE(C23,60),0)+IFERROR(DOLLARDE(C34,60),0)+IFERROR(DOLLARDE(C45,60),0), 60)</f>
        <v>0</v>
      </c>
      <c r="D49" s="9">
        <f>D12+D23+D34+D45</f>
        <v>0</v>
      </c>
      <c r="E49" s="9">
        <f>E12+E23+E34+E45</f>
        <v>4900</v>
      </c>
      <c r="F49" s="9">
        <f>D49-E49</f>
        <v>-4900</v>
      </c>
      <c r="G49" s="7" t="str">
        <f>IF(D49="","",IF(F49&gt;=0,"Goal Met","Below Goal"))</f>
        <v>Below Goal</v>
      </c>
    </row>
  </sheetData>
  <conditionalFormatting sqref="F1:F47">
    <cfRule type="expression" dxfId="11" priority="1" stopIfTrue="1">
      <formula>AND(ISNUMBER(F1), F1&gt;=0)</formula>
    </cfRule>
    <cfRule type="expression" dxfId="10" priority="2" stopIfTrue="1">
      <formula>AND(ISNUMBER(F1), F1&lt;0)</formula>
    </cfRule>
  </conditionalFormatting>
  <conditionalFormatting sqref="F1:F49">
    <cfRule type="expression" dxfId="9" priority="5" stopIfTrue="1">
      <formula>AND(ISNUMBER(F1), F1&gt;=0)</formula>
    </cfRule>
    <cfRule type="expression" dxfId="8" priority="6" stopIfTrue="1">
      <formula>AND(ISNUMBER(F1), F1&lt;0)</formula>
    </cfRule>
  </conditionalFormatting>
  <conditionalFormatting sqref="G1:G47">
    <cfRule type="cellIs" dxfId="7" priority="3" stopIfTrue="1" operator="equal">
      <formula>"Goal Met"</formula>
    </cfRule>
    <cfRule type="cellIs" dxfId="6" priority="4" stopIfTrue="1" operator="equal">
      <formula>"Below Goal"</formula>
    </cfRule>
  </conditionalFormatting>
  <conditionalFormatting sqref="G1:G49">
    <cfRule type="cellIs" dxfId="5" priority="7" stopIfTrue="1" operator="equal">
      <formula>"Goal Met"</formula>
    </cfRule>
    <cfRule type="cellIs" dxfId="4" priority="8" stopIfTrue="1" operator="equal">
      <formula>"Below Goal"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7"/>
  <sheetViews>
    <sheetView workbookViewId="0">
      <selection activeCell="D7" sqref="D7"/>
    </sheetView>
  </sheetViews>
  <sheetFormatPr defaultRowHeight="14.4" x14ac:dyDescent="0.3"/>
  <cols>
    <col min="1" max="1" width="16" customWidth="1"/>
    <col min="2" max="2" width="14" customWidth="1"/>
    <col min="3" max="3" width="12" customWidth="1"/>
    <col min="4" max="4" width="18" customWidth="1"/>
    <col min="5" max="5" width="16" customWidth="1"/>
    <col min="6" max="6" width="18" customWidth="1"/>
    <col min="7" max="7" width="16" customWidth="1"/>
  </cols>
  <sheetData>
    <row r="1" spans="1:6" ht="18" customHeight="1" x14ac:dyDescent="0.35">
      <c r="A1" s="1" t="s">
        <v>448</v>
      </c>
    </row>
    <row r="3" spans="1:6" x14ac:dyDescent="0.3">
      <c r="A3" s="3" t="s">
        <v>449</v>
      </c>
      <c r="B3" s="3" t="s">
        <v>450</v>
      </c>
      <c r="C3" s="3" t="s">
        <v>451</v>
      </c>
      <c r="D3" s="3" t="s">
        <v>452</v>
      </c>
      <c r="E3" s="3" t="s">
        <v>7</v>
      </c>
      <c r="F3" s="3" t="s">
        <v>8</v>
      </c>
    </row>
    <row r="4" spans="1:6" x14ac:dyDescent="0.3">
      <c r="A4" s="4" t="s">
        <v>453</v>
      </c>
      <c r="B4" s="5">
        <f>January!C60</f>
        <v>171.52</v>
      </c>
      <c r="C4" s="6">
        <f>January!D60</f>
        <v>4778.1400000000003</v>
      </c>
      <c r="D4" s="6">
        <f>January!E60</f>
        <v>5250</v>
      </c>
      <c r="E4" s="6">
        <f t="shared" ref="E4:E15" si="0">C4-D4</f>
        <v>-471.85999999999967</v>
      </c>
      <c r="F4" s="4" t="str">
        <f t="shared" ref="F4:F15" si="1">IF(C4="","",IF(E4&gt;=0,"Goal Met","Below Goal"))</f>
        <v>Below Goal</v>
      </c>
    </row>
    <row r="5" spans="1:6" x14ac:dyDescent="0.3">
      <c r="A5" s="4" t="s">
        <v>454</v>
      </c>
      <c r="B5" s="5">
        <f>February!C49</f>
        <v>70.53</v>
      </c>
      <c r="C5" s="6">
        <f>February!D49</f>
        <v>2454.87</v>
      </c>
      <c r="D5" s="6">
        <f>February!E49</f>
        <v>4200</v>
      </c>
      <c r="E5" s="6">
        <f t="shared" si="0"/>
        <v>-1745.13</v>
      </c>
      <c r="F5" s="4" t="str">
        <f t="shared" si="1"/>
        <v>Below Goal</v>
      </c>
    </row>
    <row r="6" spans="1:6" x14ac:dyDescent="0.3">
      <c r="A6" s="4" t="s">
        <v>455</v>
      </c>
      <c r="B6" s="5">
        <f>March!C49</f>
        <v>8.5299999999999994</v>
      </c>
      <c r="C6" s="6">
        <f>March!D49</f>
        <v>224.7</v>
      </c>
      <c r="D6" s="6">
        <f>March!E49</f>
        <v>4200</v>
      </c>
      <c r="E6" s="6">
        <f t="shared" si="0"/>
        <v>-3975.3</v>
      </c>
      <c r="F6" s="4" t="str">
        <f t="shared" si="1"/>
        <v>Below Goal</v>
      </c>
    </row>
    <row r="7" spans="1:6" x14ac:dyDescent="0.3">
      <c r="A7" s="4" t="s">
        <v>456</v>
      </c>
      <c r="B7" s="5">
        <f>April!C60</f>
        <v>0</v>
      </c>
      <c r="C7" s="6">
        <f>April!D60</f>
        <v>0</v>
      </c>
      <c r="D7" s="6">
        <f>April!E60</f>
        <v>6125</v>
      </c>
      <c r="E7" s="6">
        <f t="shared" si="0"/>
        <v>-6125</v>
      </c>
      <c r="F7" s="4" t="str">
        <f t="shared" si="1"/>
        <v>Below Goal</v>
      </c>
    </row>
    <row r="8" spans="1:6" x14ac:dyDescent="0.3">
      <c r="A8" s="4" t="s">
        <v>457</v>
      </c>
      <c r="B8" s="5">
        <f>May!C49</f>
        <v>0</v>
      </c>
      <c r="C8" s="6">
        <f>May!D49</f>
        <v>0</v>
      </c>
      <c r="D8" s="6">
        <f>May!E49</f>
        <v>4900</v>
      </c>
      <c r="E8" s="6">
        <f t="shared" si="0"/>
        <v>-4900</v>
      </c>
      <c r="F8" s="4" t="str">
        <f t="shared" si="1"/>
        <v>Below Goal</v>
      </c>
    </row>
    <row r="9" spans="1:6" x14ac:dyDescent="0.3">
      <c r="A9" s="4" t="s">
        <v>458</v>
      </c>
      <c r="B9" s="5">
        <f>June!C49</f>
        <v>0</v>
      </c>
      <c r="C9" s="6">
        <f>June!D49</f>
        <v>0</v>
      </c>
      <c r="D9" s="6">
        <f>June!E49</f>
        <v>4900</v>
      </c>
      <c r="E9" s="6">
        <f t="shared" si="0"/>
        <v>-4900</v>
      </c>
      <c r="F9" s="4" t="str">
        <f t="shared" si="1"/>
        <v>Below Goal</v>
      </c>
    </row>
    <row r="10" spans="1:6" x14ac:dyDescent="0.3">
      <c r="A10" s="4" t="s">
        <v>459</v>
      </c>
      <c r="B10" s="5">
        <f>July!C60</f>
        <v>0</v>
      </c>
      <c r="C10" s="6">
        <f>July!D60</f>
        <v>0</v>
      </c>
      <c r="D10" s="6">
        <f>July!E60</f>
        <v>6125</v>
      </c>
      <c r="E10" s="6">
        <f t="shared" si="0"/>
        <v>-6125</v>
      </c>
      <c r="F10" s="4" t="str">
        <f t="shared" si="1"/>
        <v>Below Goal</v>
      </c>
    </row>
    <row r="11" spans="1:6" x14ac:dyDescent="0.3">
      <c r="A11" s="4" t="s">
        <v>460</v>
      </c>
      <c r="B11" s="5">
        <f>August!C49</f>
        <v>0</v>
      </c>
      <c r="C11" s="6">
        <f>August!D49</f>
        <v>0</v>
      </c>
      <c r="D11" s="6">
        <f>August!E49</f>
        <v>4900</v>
      </c>
      <c r="E11" s="6">
        <f t="shared" si="0"/>
        <v>-4900</v>
      </c>
      <c r="F11" s="4" t="str">
        <f t="shared" si="1"/>
        <v>Below Goal</v>
      </c>
    </row>
    <row r="12" spans="1:6" x14ac:dyDescent="0.3">
      <c r="A12" s="4" t="s">
        <v>461</v>
      </c>
      <c r="B12" s="5">
        <f>September!C49</f>
        <v>0</v>
      </c>
      <c r="C12" s="6">
        <f>September!D49</f>
        <v>0</v>
      </c>
      <c r="D12" s="6">
        <f>September!E49</f>
        <v>4900</v>
      </c>
      <c r="E12" s="6">
        <f t="shared" si="0"/>
        <v>-4900</v>
      </c>
      <c r="F12" s="4" t="str">
        <f t="shared" si="1"/>
        <v>Below Goal</v>
      </c>
    </row>
    <row r="13" spans="1:6" x14ac:dyDescent="0.3">
      <c r="A13" s="4" t="s">
        <v>462</v>
      </c>
      <c r="B13" s="5">
        <f>October!C49</f>
        <v>0</v>
      </c>
      <c r="C13" s="6">
        <f>October!D49</f>
        <v>0</v>
      </c>
      <c r="D13" s="6">
        <f>October!E49</f>
        <v>4900</v>
      </c>
      <c r="E13" s="6">
        <f t="shared" si="0"/>
        <v>-4900</v>
      </c>
      <c r="F13" s="4" t="str">
        <f t="shared" si="1"/>
        <v>Below Goal</v>
      </c>
    </row>
    <row r="14" spans="1:6" x14ac:dyDescent="0.3">
      <c r="A14" s="4" t="s">
        <v>463</v>
      </c>
      <c r="B14" s="5">
        <f>November!C60</f>
        <v>0</v>
      </c>
      <c r="C14" s="6">
        <f>November!D60</f>
        <v>0</v>
      </c>
      <c r="D14" s="6">
        <f>November!E60</f>
        <v>6125</v>
      </c>
      <c r="E14" s="6">
        <f t="shared" si="0"/>
        <v>-6125</v>
      </c>
      <c r="F14" s="4" t="str">
        <f t="shared" si="1"/>
        <v>Below Goal</v>
      </c>
    </row>
    <row r="15" spans="1:6" x14ac:dyDescent="0.3">
      <c r="A15" s="4" t="s">
        <v>464</v>
      </c>
      <c r="B15" s="5">
        <f>December!C49</f>
        <v>0</v>
      </c>
      <c r="C15" s="6">
        <f>December!D49</f>
        <v>0</v>
      </c>
      <c r="D15" s="6">
        <f>December!E49</f>
        <v>4900</v>
      </c>
      <c r="E15" s="6">
        <f t="shared" si="0"/>
        <v>-4900</v>
      </c>
      <c r="F15" s="4" t="str">
        <f t="shared" si="1"/>
        <v>Below Goal</v>
      </c>
    </row>
    <row r="17" spans="1:6" x14ac:dyDescent="0.3">
      <c r="A17" s="7" t="s">
        <v>465</v>
      </c>
      <c r="B17" s="8">
        <f>DOLLARFR(IFERROR(DOLLARDE(B4,60),0)+IFERROR(DOLLARDE(B5,60),0)+IFERROR(DOLLARDE(B6,60),0)+IFERROR(DOLLARDE(B7,60),0)+IFERROR(DOLLARDE(B8,60),0)+IFERROR(DOLLARDE(B9,60),0)+IFERROR(DOLLARDE(B10,60),0)+IFERROR(DOLLARDE(B11,60),0)+IFERROR(DOLLARDE(B12,60),0)+IFERROR(DOLLARDE(B13,60),0)+IFERROR(DOLLARDE(B14,60),0)+IFERROR(DOLLARDE(B15,60),0), 60)</f>
        <v>251.38</v>
      </c>
      <c r="C17" s="9">
        <f>C4+C5+C6+C7+C8+C9+C10+C11+C12+C13+C14+C15</f>
        <v>7457.71</v>
      </c>
      <c r="D17" s="9">
        <f>D4+D5+D6+D7+D8+D9+D10+D11+D12+D13+D14+D15</f>
        <v>61425</v>
      </c>
      <c r="E17" s="9">
        <f>C17-D17</f>
        <v>-53967.29</v>
      </c>
      <c r="F17" s="7" t="str">
        <f>IF(C17="","",IF(E17&gt;=0,"Goal Met","Below Goal"))</f>
        <v>Below Goal</v>
      </c>
    </row>
  </sheetData>
  <conditionalFormatting sqref="E1:F17">
    <cfRule type="expression" dxfId="3" priority="1" stopIfTrue="1">
      <formula>AND(ISNUMBER(E1), E1&gt;=0)</formula>
    </cfRule>
    <cfRule type="expression" dxfId="2" priority="2" stopIfTrue="1">
      <formula>AND(ISNUMBER(E1), E1&lt;0)</formula>
    </cfRule>
  </conditionalFormatting>
  <conditionalFormatting sqref="F1:G17">
    <cfRule type="cellIs" dxfId="1" priority="3" stopIfTrue="1" operator="equal">
      <formula>"Goal Met"</formula>
    </cfRule>
    <cfRule type="cellIs" dxfId="0" priority="4" stopIfTrue="1" operator="equal">
      <formula>"Below Goal"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Terrance  Massey</cp:lastModifiedBy>
  <dcterms:created xsi:type="dcterms:W3CDTF">2026-03-04T01:19:46Z</dcterms:created>
  <dcterms:modified xsi:type="dcterms:W3CDTF">2026-03-04T02:16:29Z</dcterms:modified>
</cp:coreProperties>
</file>